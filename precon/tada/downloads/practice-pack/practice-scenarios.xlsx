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01 K-2 Read" sheetId="2" state="visible" r:id="rId4"/>
    <sheet name="02 K-2 Math" sheetId="3" state="visible" r:id="rId5"/>
    <sheet name="03 3-5 Scie" sheetId="4" state="visible" r:id="rId6"/>
    <sheet name="04 3-5 Read" sheetId="5" state="visible" r:id="rId7"/>
    <sheet name="05 3-5 Math" sheetId="6" state="visible" r:id="rId8"/>
    <sheet name="06 6-8 Scie" sheetId="7" state="visible" r:id="rId9"/>
    <sheet name="07 6-8 ELA" sheetId="8" state="visible" r:id="rId10"/>
    <sheet name="08 6-8 Math" sheetId="9" state="visible" r:id="rId11"/>
    <sheet name="09 9-12 Biol" sheetId="10" state="visible" r:id="rId12"/>
    <sheet name="10 9-12 EL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Names the characters</t>
        </r>
      </text>
    </comment>
    <comment ref="C4" authorId="0">
      <text>
        <r>
          <rPr>
            <sz val="10"/>
            <rFont val="Arial"/>
            <family val="2"/>
          </rPr>
          <t xml:space="preserve">SURFACE — Puts events in order</t>
        </r>
      </text>
    </comment>
    <comment ref="D4" authorId="0">
      <text>
        <r>
          <rPr>
            <sz val="10"/>
            <rFont val="Arial"/>
            <family val="2"/>
          </rPr>
          <t xml:space="preserve">SURFACE — Identifies the setting</t>
        </r>
      </text>
    </comment>
    <comment ref="E4" authorId="0">
      <text>
        <r>
          <rPr>
            <sz val="10"/>
            <rFont val="Arial"/>
            <family val="2"/>
          </rPr>
          <t xml:space="preserve">DEEP — Explains why a character felt a certain way</t>
        </r>
      </text>
    </comment>
    <comment ref="F4" authorId="0">
      <text>
        <r>
          <rPr>
            <sz val="10"/>
            <rFont val="Arial"/>
            <family val="2"/>
          </rPr>
          <t xml:space="preserve">TRANSFER — Tells what they would do differently and why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Counts objects accurately</t>
        </r>
      </text>
    </comment>
    <comment ref="C4" authorId="0">
      <text>
        <r>
          <rPr>
            <sz val="10"/>
            <rFont val="Arial"/>
            <family val="2"/>
          </rPr>
          <t xml:space="preserve">SURFACE — Recognizes written numbers</t>
        </r>
      </text>
    </comment>
    <comment ref="D4" authorId="0">
      <text>
        <r>
          <rPr>
            <sz val="10"/>
            <rFont val="Arial"/>
            <family val="2"/>
          </rPr>
          <t xml:space="preserve">SURFACE — Solves simple addition</t>
        </r>
      </text>
    </comment>
    <comment ref="E4" authorId="0">
      <text>
        <r>
          <rPr>
            <sz val="10"/>
            <rFont val="Arial"/>
            <family val="2"/>
          </rPr>
          <t xml:space="preserve">DEEP — Explains how they found the sum</t>
        </r>
      </text>
    </comment>
    <comment ref="F4" authorId="0">
      <text>
        <r>
          <rPr>
            <sz val="10"/>
            <rFont val="Arial"/>
            <family val="2"/>
          </rPr>
          <t xml:space="preserve">TRANSFER — Solves a real-world addition problem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Labels the water-cycle diagram</t>
        </r>
      </text>
    </comment>
    <comment ref="C4" authorId="0">
      <text>
        <r>
          <rPr>
            <sz val="10"/>
            <rFont val="Arial"/>
            <family val="2"/>
          </rPr>
          <t xml:space="preserve">SURFACE — Matches vocabulary to definitions</t>
        </r>
      </text>
    </comment>
    <comment ref="D4" authorId="0">
      <text>
        <r>
          <rPr>
            <sz val="10"/>
            <rFont val="Arial"/>
            <family val="2"/>
          </rPr>
          <t xml:space="preserve">SURFACE — Identifies a stage of the cycle</t>
        </r>
      </text>
    </comment>
    <comment ref="E4" authorId="0">
      <text>
        <r>
          <rPr>
            <sz val="10"/>
            <rFont val="Arial"/>
            <family val="2"/>
          </rPr>
          <t xml:space="preserve">DEEP — Explains evaporation to condensation</t>
        </r>
      </text>
    </comment>
    <comment ref="F4" authorId="0">
      <text>
        <r>
          <rPr>
            <sz val="10"/>
            <rFont val="Arial"/>
            <family val="2"/>
          </rPr>
          <t xml:space="preserve">DEEP — Explains what causes rain</t>
        </r>
      </text>
    </comment>
    <comment ref="G4" authorId="0">
      <text>
        <r>
          <rPr>
            <sz val="10"/>
            <rFont val="Arial"/>
            <family val="2"/>
          </rPr>
          <t xml:space="preserve">TRANSFER — Compares the cycle in desert vs rainforest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Recalls a stated detail</t>
        </r>
      </text>
    </comment>
    <comment ref="C4" authorId="0">
      <text>
        <r>
          <rPr>
            <sz val="10"/>
            <rFont val="Arial"/>
            <family val="2"/>
          </rPr>
          <t xml:space="preserve">SURFACE — Determines word meaning in context</t>
        </r>
      </text>
    </comment>
    <comment ref="D4" authorId="0">
      <text>
        <r>
          <rPr>
            <sz val="10"/>
            <rFont val="Arial"/>
            <family val="2"/>
          </rPr>
          <t xml:space="preserve">DEEP — Identifies the main idea</t>
        </r>
      </text>
    </comment>
    <comment ref="E4" authorId="0">
      <text>
        <r>
          <rPr>
            <sz val="10"/>
            <rFont val="Arial"/>
            <family val="2"/>
          </rPr>
          <t xml:space="preserve">DEEP — Infers a character's motive</t>
        </r>
      </text>
    </comment>
    <comment ref="F4" authorId="0">
      <text>
        <r>
          <rPr>
            <sz val="10"/>
            <rFont val="Arial"/>
            <family val="2"/>
          </rPr>
          <t xml:space="preserve">TRANSFER — Applies the theme to a new situation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Identifies a fraction</t>
        </r>
      </text>
    </comment>
    <comment ref="C4" authorId="0">
      <text>
        <r>
          <rPr>
            <sz val="10"/>
            <rFont val="Arial"/>
            <family val="2"/>
          </rPr>
          <t xml:space="preserve">SURFACE — Compares two fractions</t>
        </r>
      </text>
    </comment>
    <comment ref="D4" authorId="0">
      <text>
        <r>
          <rPr>
            <sz val="10"/>
            <rFont val="Arial"/>
            <family val="2"/>
          </rPr>
          <t xml:space="preserve">SURFACE — Finds an equivalent fraction</t>
        </r>
      </text>
    </comment>
    <comment ref="E4" authorId="0">
      <text>
        <r>
          <rPr>
            <sz val="10"/>
            <rFont val="Arial"/>
            <family val="2"/>
          </rPr>
          <t xml:space="preserve">DEEP — Explains why fractions are equivalent</t>
        </r>
      </text>
    </comment>
    <comment ref="F4" authorId="0">
      <text>
        <r>
          <rPr>
            <sz val="10"/>
            <rFont val="Arial"/>
            <family val="2"/>
          </rPr>
          <t xml:space="preserve">DEEP — Adds fractions with like denominators</t>
        </r>
      </text>
    </comment>
    <comment ref="G4" authorId="0">
      <text>
        <r>
          <rPr>
            <sz val="10"/>
            <rFont val="Arial"/>
            <family val="2"/>
          </rPr>
          <t xml:space="preserve">TRANSFER — Solves a recipe/scaling word problem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Defines producer and consumer</t>
        </r>
      </text>
    </comment>
    <comment ref="C4" authorId="0">
      <text>
        <r>
          <rPr>
            <sz val="10"/>
            <rFont val="Arial"/>
            <family val="2"/>
          </rPr>
          <t xml:space="preserve">SURFACE — Identifies a trophic level</t>
        </r>
      </text>
    </comment>
    <comment ref="D4" authorId="0">
      <text>
        <r>
          <rPr>
            <sz val="10"/>
            <rFont val="Arial"/>
            <family val="2"/>
          </rPr>
          <t xml:space="preserve">SURFACE — Orders a food chain</t>
        </r>
      </text>
    </comment>
    <comment ref="E4" authorId="0">
      <text>
        <r>
          <rPr>
            <sz val="10"/>
            <rFont val="Arial"/>
            <family val="2"/>
          </rPr>
          <t xml:space="preserve">DEEP — Explains energy transfer between levels</t>
        </r>
      </text>
    </comment>
    <comment ref="F4" authorId="0">
      <text>
        <r>
          <rPr>
            <sz val="10"/>
            <rFont val="Arial"/>
            <family val="2"/>
          </rPr>
          <t xml:space="preserve">DEEP — Predicts the effect of removing a species</t>
        </r>
      </text>
    </comment>
    <comment ref="G4" authorId="0">
      <text>
        <r>
          <rPr>
            <sz val="10"/>
            <rFont val="Arial"/>
            <family val="2"/>
          </rPr>
          <t xml:space="preserve">TRANSFER — Designs an intervention for a disrupted ecosystem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Identifies the claim</t>
        </r>
      </text>
    </comment>
    <comment ref="C4" authorId="0">
      <text>
        <r>
          <rPr>
            <sz val="10"/>
            <rFont val="Arial"/>
            <family val="2"/>
          </rPr>
          <t xml:space="preserve">SURFACE — Identifies supporting evidence</t>
        </r>
      </text>
    </comment>
    <comment ref="D4" authorId="0">
      <text>
        <r>
          <rPr>
            <sz val="10"/>
            <rFont val="Arial"/>
            <family val="2"/>
          </rPr>
          <t xml:space="preserve">DEEP — Explains how evidence supports the claim</t>
        </r>
      </text>
    </comment>
    <comment ref="E4" authorId="0">
      <text>
        <r>
          <rPr>
            <sz val="10"/>
            <rFont val="Arial"/>
            <family val="2"/>
          </rPr>
          <t xml:space="preserve">DEEP — Identifies a counterargument</t>
        </r>
      </text>
    </comment>
    <comment ref="F4" authorId="0">
      <text>
        <r>
          <rPr>
            <sz val="10"/>
            <rFont val="Arial"/>
            <family val="2"/>
          </rPr>
          <t xml:space="preserve">TRANSFER — Constructs an original argument on a new topic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Writes a ratio</t>
        </r>
      </text>
    </comment>
    <comment ref="C4" authorId="0">
      <text>
        <r>
          <rPr>
            <sz val="10"/>
            <rFont val="Arial"/>
            <family val="2"/>
          </rPr>
          <t xml:space="preserve">SURFACE — Simplifies a ratio</t>
        </r>
      </text>
    </comment>
    <comment ref="D4" authorId="0">
      <text>
        <r>
          <rPr>
            <sz val="10"/>
            <rFont val="Arial"/>
            <family val="2"/>
          </rPr>
          <t xml:space="preserve">SURFACE — Finds a unit rate</t>
        </r>
      </text>
    </comment>
    <comment ref="E4" authorId="0">
      <text>
        <r>
          <rPr>
            <sz val="10"/>
            <rFont val="Arial"/>
            <family val="2"/>
          </rPr>
          <t xml:space="preserve">DEEP — Explains a proportional relationship</t>
        </r>
      </text>
    </comment>
    <comment ref="F4" authorId="0">
      <text>
        <r>
          <rPr>
            <sz val="10"/>
            <rFont val="Arial"/>
            <family val="2"/>
          </rPr>
          <t xml:space="preserve">DEEP — Solves a proportion</t>
        </r>
      </text>
    </comment>
    <comment ref="G4" authorId="0">
      <text>
        <r>
          <rPr>
            <sz val="10"/>
            <rFont val="Arial"/>
            <family val="2"/>
          </rPr>
          <t xml:space="preserve">TRANSFER — Applies proportion to a real-world scaling task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Defines ATP</t>
        </r>
      </text>
    </comment>
    <comment ref="C4" authorId="0">
      <text>
        <r>
          <rPr>
            <sz val="10"/>
            <rFont val="Arial"/>
            <family val="2"/>
          </rPr>
          <t xml:space="preserve">SURFACE — Identifies reactants and products</t>
        </r>
      </text>
    </comment>
    <comment ref="D4" authorId="0">
      <text>
        <r>
          <rPr>
            <sz val="10"/>
            <rFont val="Arial"/>
            <family val="2"/>
          </rPr>
          <t xml:space="preserve">SURFACE — Locates the stages of respiration</t>
        </r>
      </text>
    </comment>
    <comment ref="E4" authorId="0">
      <text>
        <r>
          <rPr>
            <sz val="10"/>
            <rFont val="Arial"/>
            <family val="2"/>
          </rPr>
          <t xml:space="preserve">DEEP — Explains how glycolysis links to the Krebs cycle</t>
        </r>
      </text>
    </comment>
    <comment ref="F4" authorId="0">
      <text>
        <r>
          <rPr>
            <sz val="10"/>
            <rFont val="Arial"/>
            <family val="2"/>
          </rPr>
          <t xml:space="preserve">DEEP — Compares aerobic and anaerobic respiration</t>
        </r>
      </text>
    </comment>
    <comment ref="G4" authorId="0">
      <text>
        <r>
          <rPr>
            <sz val="10"/>
            <rFont val="Arial"/>
            <family val="2"/>
          </rPr>
          <t xml:space="preserve">TRANSFER — Predicts the outcome under a novel condition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SURFACE — Identifies ethos, pathos, or logos</t>
        </r>
      </text>
    </comment>
    <comment ref="C4" authorId="0">
      <text>
        <r>
          <rPr>
            <sz val="10"/>
            <rFont val="Arial"/>
            <family val="2"/>
          </rPr>
          <t xml:space="preserve">SURFACE — Identifies tone</t>
        </r>
      </text>
    </comment>
    <comment ref="D4" authorId="0">
      <text>
        <r>
          <rPr>
            <sz val="10"/>
            <rFont val="Arial"/>
            <family val="2"/>
          </rPr>
          <t xml:space="preserve">DEEP — Analyzes an author's rhetorical choice</t>
        </r>
      </text>
    </comment>
    <comment ref="E4" authorId="0">
      <text>
        <r>
          <rPr>
            <sz val="10"/>
            <rFont val="Arial"/>
            <family val="2"/>
          </rPr>
          <t xml:space="preserve">DEEP — Evaluates the effectiveness of a choice</t>
        </r>
      </text>
    </comment>
    <comment ref="F4" authorId="0">
      <text>
        <r>
          <rPr>
            <sz val="10"/>
            <rFont val="Arial"/>
            <family val="2"/>
          </rPr>
          <t xml:space="preserve">TRANSFER — Applies a rhetorical strategy to a new audience</t>
        </r>
      </text>
    </comment>
  </commentList>
</comments>
</file>

<file path=xl/sharedStrings.xml><?xml version="1.0" encoding="utf-8"?>
<sst xmlns="http://schemas.openxmlformats.org/spreadsheetml/2006/main" count="414" uniqueCount="116">
  <si>
    <t xml:space="preserve">Turn Assessment Data Into Action</t>
  </si>
  <si>
    <t xml:space="preserve">Practice Scenarios Workbook — enter your data, then export each sheet to CSV</t>
  </si>
  <si>
    <t xml:space="preserve">How to use this workbook</t>
  </si>
  <si>
    <t xml:space="preserve">1. Pick a scenario tab</t>
  </si>
  <si>
    <t xml:space="preserve">There are 10, one per tab, across grade bands K-2, 3-5, 6-8, and 9-12.</t>
  </si>
  <si>
    <t xml:space="preserve">2. Fill in the yellow cells</t>
  </si>
  <si>
    <t xml:space="preserve">Each row is one student. Enter 1 if the student was correct/proficient on that question, or 0 if not yet. Yellow = you edit; white = leave alone.</t>
  </si>
  <si>
    <t xml:space="preserve">3. Watch the summary update</t>
  </si>
  <si>
    <t xml:space="preserve">The % correct row and each student's phase estimate calculate automatically as you type.</t>
  </si>
  <si>
    <t xml:space="preserve">4. Export that tab to CSV</t>
  </si>
  <si>
    <t xml:space="preserve">File &gt; Download &gt; CSV (Google Sheets) or File &gt; Save As &gt; CSV (Excel). One tab exports at a time.</t>
  </si>
  <si>
    <t xml:space="preserve">5. Feed the CSV to Gen AI</t>
  </si>
  <si>
    <t xml:space="preserve">Use the CSV with the master prompt and context primer from the Downloads page during the session's Gen AI portion.</t>
  </si>
  <si>
    <t xml:space="preserve">Scoring: how the phase is decided</t>
  </si>
  <si>
    <t xml:space="preserve">Surface</t>
  </si>
  <si>
    <t xml:space="preserve">Student is correct mainly on surface items (facts, vocabulary, basic skills) but not the deep or transfer items.</t>
  </si>
  <si>
    <t xml:space="preserve">Deep</t>
  </si>
  <si>
    <t xml:space="preserve">Student is correct on the surface items AND the deep items (connecting and explaining ideas).</t>
  </si>
  <si>
    <t xml:space="preserve">Transfer</t>
  </si>
  <si>
    <t xml:space="preserve">Student is correct across surface and deep items AND the transfer item (applying to a new situation).</t>
  </si>
  <si>
    <t xml:space="preserve">A note on the estimate</t>
  </si>
  <si>
    <t xml:space="preserve">The auto-estimate is a starting point based on question phase totals. Your professional judgment decides the final phase — especially when a student's pattern is mixed.</t>
  </si>
  <si>
    <t xml:space="preserve">Privacy</t>
  </si>
  <si>
    <t xml:space="preserve">Student columns use IDs (S01, S02...), never names. Never put student names into a public AI tool.</t>
  </si>
  <si>
    <t xml:space="preserve">Scenario 1 · K-2 · Reading: Story Retelling</t>
  </si>
  <si>
    <t xml:space="preserve">Enter 1 (correct/proficient) or 0 (not yet) in the yellow cells. One row per student.</t>
  </si>
  <si>
    <t xml:space="preserve">student_id</t>
  </si>
  <si>
    <t xml:space="preserve">Q1_characters</t>
  </si>
  <si>
    <t xml:space="preserve">Q2_sequence</t>
  </si>
  <si>
    <t xml:space="preserve">Q3_setting</t>
  </si>
  <si>
    <t xml:space="preserve">Q4_feelings</t>
  </si>
  <si>
    <t xml:space="preserve">Q5_alternative</t>
  </si>
  <si>
    <t xml:space="preserve">phase_estimate</t>
  </si>
  <si>
    <t xml:space="preserve">phase →</t>
  </si>
  <si>
    <t xml:space="preserve">surface</t>
  </si>
  <si>
    <t xml:space="preserve">deep</t>
  </si>
  <si>
    <t xml:space="preserve">transfer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</si>
  <si>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</si>
  <si>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</si>
  <si>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</si>
  <si>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</si>
  <si>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</si>
  <si>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</si>
  <si>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</si>
  <si>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</si>
  <si>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</si>
  <si>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</si>
  <si>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</si>
  <si>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</si>
  <si>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</si>
  <si>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</si>
  <si>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</si>
  <si>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Example: a student correct on Q1 and Q2 only would have 1,1,0,0... across the row.</t>
  </si>
  <si>
    <t xml:space="preserve">SUMMARY</t>
  </si>
  <si>
    <t xml:space="preserve">% correct</t>
  </si>
  <si>
    <t xml:space="preserve">Phase distribution</t>
  </si>
  <si>
    <t xml:space="preserve">Emerging</t>
  </si>
  <si>
    <t xml:space="preserve">Scenario 2 · K-2 · Math: Counting &amp; Addition</t>
  </si>
  <si>
    <t xml:space="preserve">Q1_count</t>
  </si>
  <si>
    <t xml:space="preserve">Q2_numberID</t>
  </si>
  <si>
    <t xml:space="preserve">Q3_addition</t>
  </si>
  <si>
    <t xml:space="preserve">Q4_explain</t>
  </si>
  <si>
    <t xml:space="preserve">Q5_wordproblem</t>
  </si>
  <si>
    <t xml:space="preserve">Scenario 3 · 3-5 · Science: Water Cycle</t>
  </si>
  <si>
    <t xml:space="preserve">Q1_label</t>
  </si>
  <si>
    <t xml:space="preserve">Q2_vocab</t>
  </si>
  <si>
    <t xml:space="preserve">Q3_stage</t>
  </si>
  <si>
    <t xml:space="preserve">Q4_explain_ec</t>
  </si>
  <si>
    <t xml:space="preserve">Q5_cause_rain</t>
  </si>
  <si>
    <t xml:space="preserve">Q6_desert_rainforest</t>
  </si>
  <si>
    <t xml:space="preserve">Scenario 4 · 3-5 · Reading: Main Idea &amp; Inference</t>
  </si>
  <si>
    <t xml:space="preserve">Q1_recall</t>
  </si>
  <si>
    <t xml:space="preserve">Q2_vocab_context</t>
  </si>
  <si>
    <t xml:space="preserve">Q3_mainidea</t>
  </si>
  <si>
    <t xml:space="preserve">Q4_infer_motive</t>
  </si>
  <si>
    <t xml:space="preserve">Q5_apply_theme</t>
  </si>
  <si>
    <t xml:space="preserve">Scenario 5 · 3-5 · Math: Fractions</t>
  </si>
  <si>
    <t xml:space="preserve">Q1_identify</t>
  </si>
  <si>
    <t xml:space="preserve">Q2_compare</t>
  </si>
  <si>
    <t xml:space="preserve">Q3_equivalent</t>
  </si>
  <si>
    <t xml:space="preserve">Q4_explain_equiv</t>
  </si>
  <si>
    <t xml:space="preserve">Q5_add</t>
  </si>
  <si>
    <t xml:space="preserve">Q6_recipe</t>
  </si>
  <si>
    <t xml:space="preserve">Scenario 6 · 6-8 · Science: Ecosystems &amp; Energy Flow</t>
  </si>
  <si>
    <t xml:space="preserve">Q1_define</t>
  </si>
  <si>
    <t xml:space="preserve">Q2_trophic</t>
  </si>
  <si>
    <t xml:space="preserve">Q3_foodchain</t>
  </si>
  <si>
    <t xml:space="preserve">Q4_energy</t>
  </si>
  <si>
    <t xml:space="preserve">Q5_predict_remove</t>
  </si>
  <si>
    <t xml:space="preserve">Q6_design</t>
  </si>
  <si>
    <t xml:space="preserve">Scenario 7 · 6-8 · ELA: Argumentative Writing</t>
  </si>
  <si>
    <t xml:space="preserve">Q1_claim</t>
  </si>
  <si>
    <t xml:space="preserve">Q2_evidence</t>
  </si>
  <si>
    <t xml:space="preserve">Q3_explain_support</t>
  </si>
  <si>
    <t xml:space="preserve">Q4_counter</t>
  </si>
  <si>
    <t xml:space="preserve">Q5_construct</t>
  </si>
  <si>
    <t xml:space="preserve">Scenario 8 · 6-8 · Math: Ratios &amp; Proportional Reasoning</t>
  </si>
  <si>
    <t xml:space="preserve">Q1_write_ratio</t>
  </si>
  <si>
    <t xml:space="preserve">Q2_simplify</t>
  </si>
  <si>
    <t xml:space="preserve">Q3_unitrate</t>
  </si>
  <si>
    <t xml:space="preserve">Q4_explain_prop</t>
  </si>
  <si>
    <t xml:space="preserve">Q5_solve_prop</t>
  </si>
  <si>
    <t xml:space="preserve">Q6_scale</t>
  </si>
  <si>
    <t xml:space="preserve">Scenario 9 · 9-12 · Biology: Cellular Respiration</t>
  </si>
  <si>
    <t xml:space="preserve">Q1_define_atp</t>
  </si>
  <si>
    <t xml:space="preserve">Q2_reactants</t>
  </si>
  <si>
    <t xml:space="preserve">Q3_stages</t>
  </si>
  <si>
    <t xml:space="preserve">Q4_link</t>
  </si>
  <si>
    <t xml:space="preserve">Q5_compare</t>
  </si>
  <si>
    <t xml:space="preserve">Q6_predict</t>
  </si>
  <si>
    <t xml:space="preserve">Scenario 10 · 9-12 · ELA: Rhetorical Analysis</t>
  </si>
  <si>
    <t xml:space="preserve">Q1_appeals</t>
  </si>
  <si>
    <t xml:space="preserve">Q2_tone</t>
  </si>
  <si>
    <t xml:space="preserve">Q3_analyze</t>
  </si>
  <si>
    <t xml:space="preserve">Q4_evaluate</t>
  </si>
  <si>
    <t xml:space="preserve">Q5_apply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</si>
</sst>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3476"/>
      <name val="Arial"/>
      <family val="0"/>
      <charset val="1"/>
    </font>
    <font>
      <i val="true"/>
      <sz val="9"/>
      <color rgb="FF5A6680"/>
      <name val="Arial"/>
      <family val="0"/>
      <charset val="1"/>
    </font>
    <font>
      <b val="true"/>
      <sz val="13"/>
      <color rgb="FF0A3476"/>
      <name val="Arial"/>
      <family val="0"/>
      <charset val="1"/>
    </font>
    <font>
      <b val="true"/>
      <sz val="11"/>
      <color rgb="FF0A3476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A3476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71F4A"/>
        <bgColor rgb="FF1A1A2E"/>
      </patternFill>
    </fill>
    <fill>
      <patternFill patternType="solid">
        <fgColor rgb="FF0A3476"/>
        <bgColor rgb="FF071F4A"/>
      </patternFill>
    </fill>
    <fill>
      <patternFill patternType="solid">
        <fgColor rgb="FFFEF0D0"/>
        <bgColor rgb="FFFFFDE7"/>
      </patternFill>
    </fill>
    <fill>
      <patternFill patternType="solid">
        <fgColor rgb="FFD0D8F0"/>
        <bgColor rgb="FFE2E7F5"/>
      </patternFill>
    </fill>
    <fill>
      <patternFill patternType="solid">
        <fgColor rgb="FFFFFDE7"/>
        <bgColor rgb="FFFFFFFF"/>
      </patternFill>
    </fill>
    <fill>
      <patternFill patternType="solid">
        <fgColor rgb="FFEAF0FB"/>
        <bgColor rgb="FFE2E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7F5"/>
      </left>
      <right style="thin">
        <color rgb="FFE2E7F5"/>
      </right>
      <top style="thin">
        <color rgb="FFE2E7F5"/>
      </top>
      <bottom style="thin">
        <color rgb="FFE2E7F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AF0FB"/>
      <rgbColor rgb="FF660066"/>
      <rgbColor rgb="FFFF8080"/>
      <rgbColor rgb="FF0066CC"/>
      <rgbColor rgb="FFD0D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7F5"/>
      <rgbColor rgb="FFCCFFCC"/>
      <rgbColor rgb="FFFEF0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80"/>
      <rgbColor rgb="FF969696"/>
      <rgbColor rgb="FF0A3476"/>
      <rgbColor rgb="FF339966"/>
      <rgbColor rgb="FF071F4A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30" hidden="false" customHeight="true" outlineLevel="0" collapsed="false">
      <c r="B7" s="5" t="s">
        <v>4</v>
      </c>
    </row>
    <row r="8" customFormat="false" ht="15" hidden="false" customHeight="false" outlineLevel="0" collapsed="false">
      <c r="B8" s="4" t="s">
        <v>5</v>
      </c>
    </row>
    <row r="9" customFormat="false" ht="30" hidden="false" customHeight="true" outlineLevel="0" collapsed="false">
      <c r="B9" s="5" t="s">
        <v>6</v>
      </c>
    </row>
    <row r="10" customFormat="false" ht="15" hidden="false" customHeight="false" outlineLevel="0" collapsed="false">
      <c r="B10" s="4" t="s">
        <v>7</v>
      </c>
    </row>
    <row r="11" customFormat="false" ht="30" hidden="false" customHeight="true" outlineLevel="0" collapsed="false">
      <c r="B11" s="5" t="s">
        <v>8</v>
      </c>
    </row>
    <row r="12" customFormat="false" ht="15" hidden="false" customHeight="false" outlineLevel="0" collapsed="false">
      <c r="B12" s="4" t="s">
        <v>9</v>
      </c>
    </row>
    <row r="13" customFormat="false" ht="30" hidden="false" customHeight="true" outlineLevel="0" collapsed="false">
      <c r="B13" s="5" t="s">
        <v>10</v>
      </c>
    </row>
    <row r="14" customFormat="false" ht="15" hidden="false" customHeight="false" outlineLevel="0" collapsed="false">
      <c r="B14" s="4" t="s">
        <v>11</v>
      </c>
    </row>
    <row r="15" customFormat="false" ht="30" hidden="false" customHeight="true" outlineLevel="0" collapsed="false">
      <c r="B15" s="5" t="s">
        <v>12</v>
      </c>
    </row>
    <row r="16" customFormat="false" ht="16.1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4" t="s">
        <v>14</v>
      </c>
    </row>
    <row r="18" customFormat="false" ht="30" hidden="false" customHeight="true" outlineLevel="0" collapsed="false">
      <c r="B18" s="5" t="s">
        <v>15</v>
      </c>
    </row>
    <row r="19" customFormat="false" ht="15" hidden="false" customHeight="false" outlineLevel="0" collapsed="false">
      <c r="B19" s="4" t="s">
        <v>16</v>
      </c>
    </row>
    <row r="20" customFormat="false" ht="30" hidden="false" customHeight="true" outlineLevel="0" collapsed="false">
      <c r="B20" s="5" t="s">
        <v>17</v>
      </c>
    </row>
    <row r="21" customFormat="false" ht="15" hidden="false" customHeight="false" outlineLevel="0" collapsed="false">
      <c r="B21" s="4" t="s">
        <v>18</v>
      </c>
    </row>
    <row r="22" customFormat="false" ht="30" hidden="false" customHeight="true" outlineLevel="0" collapsed="false">
      <c r="B22" s="5" t="s">
        <v>19</v>
      </c>
    </row>
    <row r="23" customFormat="false" ht="15" hidden="false" customHeight="false" outlineLevel="0" collapsed="false">
      <c r="B23" s="4" t="s">
        <v>20</v>
      </c>
    </row>
    <row r="24" customFormat="false" ht="30" hidden="false" customHeight="true" outlineLevel="0" collapsed="false">
      <c r="B24" s="5" t="s">
        <v>21</v>
      </c>
    </row>
    <row r="25" customFormat="false" ht="15" hidden="false" customHeight="false" outlineLevel="0" collapsed="false">
      <c r="B25" s="4" t="s">
        <v>22</v>
      </c>
    </row>
    <row r="26" customFormat="false" ht="30" hidden="false" customHeight="true" outlineLevel="0" collapsed="false">
      <c r="B26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3"/>
    <col collapsed="false" customWidth="true" hidden="false" outlineLevel="0" max="8" min="8" style="0" width="15"/>
  </cols>
  <sheetData>
    <row r="1" customFormat="false" ht="30" hidden="false" customHeight="true" outlineLevel="0" collapsed="false">
      <c r="A1" s="6" t="s">
        <v>24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</row>
    <row r="4" customFormat="false" ht="26.85" hidden="false" customHeight="false" outlineLevel="0" collapsed="false">
      <c r="A4" s="8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H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34</v>
      </c>
      <c r="E5" s="11" t="s">
        <v>35</v>
      </c>
      <c r="F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H6" s="14" t="str">
        <f aca="false">IF(COUNT(B6:F6)=0,"",IF(AND(((B6+C6+D6)&gt;=2),((E6)&gt;=1),((F6)&gt;=1)),"Transfer",IF(AND(((B6+C6+D6)&gt;=2),((E6)&gt;=1)),"Deep",IF(((B6+C6+D6)&gt;=2),"Surface","Emerging"))))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H7" s="14" t="str">
        <f aca="false">IF(COUNT(B7:F7)=0,"",IF(AND(((B7+C7+D7)&gt;=2),((E7)&gt;=1),((F7)&gt;=1)),"Transfer",IF(AND(((B7+C7+D7)&gt;=2),((E7)&gt;=1)),"Deep",IF(((B7+C7+D7)&gt;=2),"Surface","Emerging"))))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H8" s="14" t="str">
        <f aca="false">IF(COUNT(B8:F8)=0,"",IF(AND(((B8+C8+D8)&gt;=2),((E8)&gt;=1),((F8)&gt;=1)),"Transfer",IF(AND(((B8+C8+D8)&gt;=2),((E8)&gt;=1)),"Deep",IF(((B8+C8+D8)&gt;=2),"Surface","Emerging"))))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H9" s="14" t="str">
        <f aca="false">IF(COUNT(B9:F9)=0,"",IF(AND(((B9+C9+D9)&gt;=2),((E9)&gt;=1),((F9)&gt;=1)),"Transfer",IF(AND(((B9+C9+D9)&gt;=2),((E9)&gt;=1)),"Deep",IF(((B9+C9+D9)&gt;=2),"Surface","Emerging"))))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H10" s="14" t="str">
        <f aca="false">IF(COUNT(B10:F10)=0,"",IF(AND(((B10+C10+D10)&gt;=2),((E10)&gt;=1),((F10)&gt;=1)),"Transfer",IF(AND(((B10+C10+D10)&gt;=2),((E10)&gt;=1)),"Deep",IF(((B10+C10+D10)&gt;=2),"Surface","Emerging"))))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H11" s="14" t="str">
        <f aca="false">IF(COUNT(B11:F11)=0,"",IF(AND(((B11+C11+D11)&gt;=2),((E11)&gt;=1),((F11)&gt;=1)),"Transfer",IF(AND(((B11+C11+D11)&gt;=2),((E11)&gt;=1)),"Deep",IF(((B11+C11+D11)&gt;=2),"Surface","Emerging"))))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H12" s="14" t="str">
        <f aca="false">IF(COUNT(B12:F12)=0,"",IF(AND(((B12+C12+D12)&gt;=2),((E12)&gt;=1),((F12)&gt;=1)),"Transfer",IF(AND(((B12+C12+D12)&gt;=2),((E12)&gt;=1)),"Deep",IF(((B12+C12+D12)&gt;=2),"Surface","Emerging"))))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H13" s="14" t="str">
        <f aca="false">IF(COUNT(B13:F13)=0,"",IF(AND(((B13+C13+D13)&gt;=2),((E13)&gt;=1),((F13)&gt;=1)),"Transfer",IF(AND(((B13+C13+D13)&gt;=2),((E13)&gt;=1)),"Deep",IF(((B13+C13+D13)&gt;=2),"Surface","Emerging"))))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H14" s="14" t="str">
        <f aca="false">IF(COUNT(B14:F14)=0,"",IF(AND(((B14+C14+D14)&gt;=2),((E14)&gt;=1),((F14)&gt;=1)),"Transfer",IF(AND(((B14+C14+D14)&gt;=2),((E14)&gt;=1)),"Deep",IF(((B14+C14+D14)&gt;=2),"Surface","Emerging"))))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H15" s="14" t="str">
        <f aca="false">IF(COUNT(B15:F15)=0,"",IF(AND(((B15+C15+D15)&gt;=2),((E15)&gt;=1),((F15)&gt;=1)),"Transfer",IF(AND(((B15+C15+D15)&gt;=2),((E15)&gt;=1)),"Deep",IF(((B15+C15+D15)&gt;=2),"Surface","Emerging"))))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H16" s="14" t="str">
        <f aca="false">IF(COUNT(B16:F16)=0,"",IF(AND(((B16+C16+D16)&gt;=2),((E16)&gt;=1),((F16)&gt;=1)),"Transfer",IF(AND(((B16+C16+D16)&gt;=2),((E16)&gt;=1)),"Deep",IF(((B16+C16+D16)&gt;=2),"Surface","Emerging"))))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H17" s="14" t="str">
        <f aca="false">IF(COUNT(B17:F17)=0,"",IF(AND(((B17+C17+D17)&gt;=2),((E17)&gt;=1),((F17)&gt;=1)),"Transfer",IF(AND(((B17+C17+D17)&gt;=2),((E17)&gt;=1)),"Deep",IF(((B17+C17+D17)&gt;=2),"Surface","Emerging"))))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H18" s="14" t="str">
        <f aca="false">IF(COUNT(B18:F18)=0,"",IF(AND(((B18+C18+D18)&gt;=2),((E18)&gt;=1),((F18)&gt;=1)),"Transfer",IF(AND(((B18+C18+D18)&gt;=2),((E18)&gt;=1)),"Deep",IF(((B18+C18+D18)&gt;=2),"Surface","Emerging"))))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H19" s="14" t="str">
        <f aca="false">IF(COUNT(B19:F19)=0,"",IF(AND(((B19+C19+D19)&gt;=2),((E19)&gt;=1),((F19)&gt;=1)),"Transfer",IF(AND(((B19+C19+D19)&gt;=2),((E19)&gt;=1)),"Deep",IF(((B19+C19+D19)&gt;=2),"Surface","Emerging"))))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H20" s="14" t="str">
        <f aca="false">IF(COUNT(B20:F20)=0,"",IF(AND(((B20+C20+D20)&gt;=2),((E20)&gt;=1),((F20)&gt;=1)),"Transfer",IF(AND(((B20+C20+D20)&gt;=2),((E20)&gt;=1)),"Deep",IF(((B20+C20+D20)&gt;=2),"Surface","Emerging"))))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COUNTIF(H6:H20,"Surface")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COUNTIF(H6:H20,"Deep")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COUNTIF(H6:H20,"Transfer")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COUNTIF(H6:H20,"Emerging")</f>
        <v>0</v>
      </c>
    </row>
  </sheetData>
  <mergeCells count="3">
    <mergeCell ref="A1:G1"/>
    <mergeCell ref="A2:G2"/>
    <mergeCell ref="A21:G21"/>
  </mergeCells>
  <dataValidations count="1">
    <dataValidation allowBlank="true" error="Enter 1 (correct) or 0 (not yet)." errorStyle="stop" errorTitle="Invalid entry" operator="between" showDropDown="false" showErrorMessage="false" showInputMessage="false" sqref="B6:F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3"/>
    <col collapsed="false" customWidth="true" hidden="false" outlineLevel="0" max="8" min="8" style="0" width="15"/>
  </cols>
  <sheetData>
    <row r="1" customFormat="false" ht="30" hidden="false" customHeight="true" outlineLevel="0" collapsed="false">
      <c r="A1" s="6" t="s">
        <v>57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</row>
    <row r="4" customFormat="false" ht="26.85" hidden="false" customHeight="false" outlineLevel="0" collapsed="false">
      <c r="A4" s="8" t="s">
        <v>26</v>
      </c>
      <c r="B4" s="9" t="s">
        <v>58</v>
      </c>
      <c r="C4" s="9" t="s">
        <v>59</v>
      </c>
      <c r="D4" s="9" t="s">
        <v>60</v>
      </c>
      <c r="E4" s="9" t="s">
        <v>61</v>
      </c>
      <c r="F4" s="9" t="s">
        <v>62</v>
      </c>
      <c r="H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34</v>
      </c>
      <c r="E5" s="11" t="s">
        <v>35</v>
      </c>
      <c r="F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H6" s="14" t="str">
        <f aca="false">IF(COUNT(B6:F6)=0,"",IF(AND(((B6+C6+D6)&gt;=2),((E6)&gt;=1),((F6)&gt;=1)),"Transfer",IF(AND(((B6+C6+D6)&gt;=2),((E6)&gt;=1)),"Deep",IF(((B6+C6+D6)&gt;=2),"Surface","Emerging"))))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H7" s="14" t="str">
        <f aca="false">IF(COUNT(B7:F7)=0,"",IF(AND(((B7+C7+D7)&gt;=2),((E7)&gt;=1),((F7)&gt;=1)),"Transfer",IF(AND(((B7+C7+D7)&gt;=2),((E7)&gt;=1)),"Deep",IF(((B7+C7+D7)&gt;=2),"Surface","Emerging"))))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H8" s="14" t="str">
        <f aca="false">IF(COUNT(B8:F8)=0,"",IF(AND(((B8+C8+D8)&gt;=2),((E8)&gt;=1),((F8)&gt;=1)),"Transfer",IF(AND(((B8+C8+D8)&gt;=2),((E8)&gt;=1)),"Deep",IF(((B8+C8+D8)&gt;=2),"Surface","Emerging"))))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H9" s="14" t="str">
        <f aca="false">IF(COUNT(B9:F9)=0,"",IF(AND(((B9+C9+D9)&gt;=2),((E9)&gt;=1),((F9)&gt;=1)),"Transfer",IF(AND(((B9+C9+D9)&gt;=2),((E9)&gt;=1)),"Deep",IF(((B9+C9+D9)&gt;=2),"Surface","Emerging"))))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H10" s="14" t="str">
        <f aca="false">IF(COUNT(B10:F10)=0,"",IF(AND(((B10+C10+D10)&gt;=2),((E10)&gt;=1),((F10)&gt;=1)),"Transfer",IF(AND(((B10+C10+D10)&gt;=2),((E10)&gt;=1)),"Deep",IF(((B10+C10+D10)&gt;=2),"Surface","Emerging"))))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H11" s="14" t="str">
        <f aca="false">IF(COUNT(B11:F11)=0,"",IF(AND(((B11+C11+D11)&gt;=2),((E11)&gt;=1),((F11)&gt;=1)),"Transfer",IF(AND(((B11+C11+D11)&gt;=2),((E11)&gt;=1)),"Deep",IF(((B11+C11+D11)&gt;=2),"Surface","Emerging"))))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H12" s="14" t="str">
        <f aca="false">IF(COUNT(B12:F12)=0,"",IF(AND(((B12+C12+D12)&gt;=2),((E12)&gt;=1),((F12)&gt;=1)),"Transfer",IF(AND(((B12+C12+D12)&gt;=2),((E12)&gt;=1)),"Deep",IF(((B12+C12+D12)&gt;=2),"Surface","Emerging"))))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H13" s="14" t="str">
        <f aca="false">IF(COUNT(B13:F13)=0,"",IF(AND(((B13+C13+D13)&gt;=2),((E13)&gt;=1),((F13)&gt;=1)),"Transfer",IF(AND(((B13+C13+D13)&gt;=2),((E13)&gt;=1)),"Deep",IF(((B13+C13+D13)&gt;=2),"Surface","Emerging"))))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H14" s="14" t="str">
        <f aca="false">IF(COUNT(B14:F14)=0,"",IF(AND(((B14+C14+D14)&gt;=2),((E14)&gt;=1),((F14)&gt;=1)),"Transfer",IF(AND(((B14+C14+D14)&gt;=2),((E14)&gt;=1)),"Deep",IF(((B14+C14+D14)&gt;=2),"Surface","Emerging"))))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H15" s="14" t="str">
        <f aca="false">IF(COUNT(B15:F15)=0,"",IF(AND(((B15+C15+D15)&gt;=2),((E15)&gt;=1),((F15)&gt;=1)),"Transfer",IF(AND(((B15+C15+D15)&gt;=2),((E15)&gt;=1)),"Deep",IF(((B15+C15+D15)&gt;=2),"Surface","Emerging"))))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H16" s="14" t="str">
        <f aca="false">IF(COUNT(B16:F16)=0,"",IF(AND(((B16+C16+D16)&gt;=2),((E16)&gt;=1),((F16)&gt;=1)),"Transfer",IF(AND(((B16+C16+D16)&gt;=2),((E16)&gt;=1)),"Deep",IF(((B16+C16+D16)&gt;=2),"Surface","Emerging"))))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H17" s="14" t="str">
        <f aca="false">IF(COUNT(B17:F17)=0,"",IF(AND(((B17+C17+D17)&gt;=2),((E17)&gt;=1),((F17)&gt;=1)),"Transfer",IF(AND(((B17+C17+D17)&gt;=2),((E17)&gt;=1)),"Deep",IF(((B17+C17+D17)&gt;=2),"Surface","Emerging"))))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H18" s="14" t="str">
        <f aca="false">IF(COUNT(B18:F18)=0,"",IF(AND(((B18+C18+D18)&gt;=2),((E18)&gt;=1),((F18)&gt;=1)),"Transfer",IF(AND(((B18+C18+D18)&gt;=2),((E18)&gt;=1)),"Deep",IF(((B18+C18+D18)&gt;=2),"Surface","Emerging"))))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H19" s="14" t="str">
        <f aca="false">IF(COUNT(B19:F19)=0,"",IF(AND(((B19+C19+D19)&gt;=2),((E19)&gt;=1),((F19)&gt;=1)),"Transfer",IF(AND(((B19+C19+D19)&gt;=2),((E19)&gt;=1)),"Deep",IF(((B19+C19+D19)&gt;=2),"Surface","Emerging"))))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H20" s="14" t="str">
        <f aca="false">IF(COUNT(B20:F20)=0,"",IF(AND(((B20+C20+D20)&gt;=2),((E20)&gt;=1),((F20)&gt;=1)),"Transfer",IF(AND(((B20+C20+D20)&gt;=2),((E20)&gt;=1)),"Deep",IF(((B20+C20+D20)&gt;=2),"Surface","Emerging"))))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COUNTIF(H6:H20,"Surface")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COUNTIF(H6:H20,"Deep")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COUNTIF(H6:H20,"Transfer")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COUNTIF(H6:H20,"Emerging")</f>
        <v>0</v>
      </c>
    </row>
  </sheetData>
  <mergeCells count="3">
    <mergeCell ref="A1:G1"/>
    <mergeCell ref="A2:G2"/>
    <mergeCell ref="A21:G21"/>
  </mergeCells>
  <dataValidations count="1">
    <dataValidation allowBlank="true" error="Enter 1 (correct) or 0 (not yet)." errorStyle="stop" errorTitle="Invalid entry" operator="between" showDropDown="false" showErrorMessage="false" showInputMessage="false" sqref="B6:F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3"/>
    <col collapsed="false" customWidth="true" hidden="false" outlineLevel="0" max="9" min="9" style="0" width="15"/>
  </cols>
  <sheetData>
    <row r="1" customFormat="false" ht="30" hidden="false" customHeight="true" outlineLevel="0" collapsed="false">
      <c r="A1" s="6" t="s">
        <v>63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  <c r="H2" s="7"/>
    </row>
    <row r="4" customFormat="false" ht="26.85" hidden="false" customHeight="false" outlineLevel="0" collapsed="false">
      <c r="A4" s="8" t="s">
        <v>26</v>
      </c>
      <c r="B4" s="9" t="s">
        <v>64</v>
      </c>
      <c r="C4" s="9" t="s">
        <v>65</v>
      </c>
      <c r="D4" s="9" t="s">
        <v>66</v>
      </c>
      <c r="E4" s="9" t="s">
        <v>67</v>
      </c>
      <c r="F4" s="9" t="s">
        <v>68</v>
      </c>
      <c r="G4" s="9" t="s">
        <v>69</v>
      </c>
      <c r="I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34</v>
      </c>
      <c r="E5" s="11" t="s">
        <v>35</v>
      </c>
      <c r="F5" s="11" t="s">
        <v>35</v>
      </c>
      <c r="G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G6" s="13"/>
      <c r="I6" s="14" t="str">
        <f aca="false">IF(COUNT(B6:G6)=0,"",IF(AND(((B6+C6+D6)&gt;=2),((E6+F6)&gt;=2),((G6)&gt;=1)),"Transfer",IF(AND(((B6+C6+D6)&gt;=2),((E6+F6)&gt;=2)),"Deep",IF(((B6+C6+D6)&gt;=2),"Surface","Emerging"))))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G7" s="13"/>
      <c r="I7" s="14" t="str">
        <f aca="false">IF(COUNT(B7:G7)=0,"",IF(AND(((B7+C7+D7)&gt;=2),((E7+F7)&gt;=2),((G7)&gt;=1)),"Transfer",IF(AND(((B7+C7+D7)&gt;=2),((E7+F7)&gt;=2)),"Deep",IF(((B7+C7+D7)&gt;=2),"Surface","Emerging"))))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G8" s="13"/>
      <c r="I8" s="14" t="str">
        <f aca="false">IF(COUNT(B8:G8)=0,"",IF(AND(((B8+C8+D8)&gt;=2),((E8+F8)&gt;=2),((G8)&gt;=1)),"Transfer",IF(AND(((B8+C8+D8)&gt;=2),((E8+F8)&gt;=2)),"Deep",IF(((B8+C8+D8)&gt;=2),"Surface","Emerging"))))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G9" s="13"/>
      <c r="I9" s="14" t="str">
        <f aca="false">IF(COUNT(B9:G9)=0,"",IF(AND(((B9+C9+D9)&gt;=2),((E9+F9)&gt;=2),((G9)&gt;=1)),"Transfer",IF(AND(((B9+C9+D9)&gt;=2),((E9+F9)&gt;=2)),"Deep",IF(((B9+C9+D9)&gt;=2),"Surface","Emerging"))))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G10" s="13"/>
      <c r="I10" s="14" t="str">
        <f aca="false">IF(COUNT(B10:G10)=0,"",IF(AND(((B10+C10+D10)&gt;=2),((E10+F10)&gt;=2),((G10)&gt;=1)),"Transfer",IF(AND(((B10+C10+D10)&gt;=2),((E10+F10)&gt;=2)),"Deep",IF(((B10+C10+D10)&gt;=2),"Surface","Emerging"))))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G11" s="13"/>
      <c r="I11" s="14" t="str">
        <f aca="false">IF(COUNT(B11:G11)=0,"",IF(AND(((B11+C11+D11)&gt;=2),((E11+F11)&gt;=2),((G11)&gt;=1)),"Transfer",IF(AND(((B11+C11+D11)&gt;=2),((E11+F11)&gt;=2)),"Deep",IF(((B11+C11+D11)&gt;=2),"Surface","Emerging"))))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G12" s="13"/>
      <c r="I12" s="14" t="str">
        <f aca="false">IF(COUNT(B12:G12)=0,"",IF(AND(((B12+C12+D12)&gt;=2),((E12+F12)&gt;=2),((G12)&gt;=1)),"Transfer",IF(AND(((B12+C12+D12)&gt;=2),((E12+F12)&gt;=2)),"Deep",IF(((B12+C12+D12)&gt;=2),"Surface","Emerging"))))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G13" s="13"/>
      <c r="I13" s="14" t="str">
        <f aca="false">IF(COUNT(B13:G13)=0,"",IF(AND(((B13+C13+D13)&gt;=2),((E13+F13)&gt;=2),((G13)&gt;=1)),"Transfer",IF(AND(((B13+C13+D13)&gt;=2),((E13+F13)&gt;=2)),"Deep",IF(((B13+C13+D13)&gt;=2),"Surface","Emerging"))))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G14" s="13"/>
      <c r="I14" s="14" t="str">
        <f aca="false">IF(COUNT(B14:G14)=0,"",IF(AND(((B14+C14+D14)&gt;=2),((E14+F14)&gt;=2),((G14)&gt;=1)),"Transfer",IF(AND(((B14+C14+D14)&gt;=2),((E14+F14)&gt;=2)),"Deep",IF(((B14+C14+D14)&gt;=2),"Surface","Emerging"))))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G15" s="13"/>
      <c r="I15" s="14" t="str">
        <f aca="false">IF(COUNT(B15:G15)=0,"",IF(AND(((B15+C15+D15)&gt;=2),((E15+F15)&gt;=2),((G15)&gt;=1)),"Transfer",IF(AND(((B15+C15+D15)&gt;=2),((E15+F15)&gt;=2)),"Deep",IF(((B15+C15+D15)&gt;=2),"Surface","Emerging"))))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G16" s="13"/>
      <c r="I16" s="14" t="str">
        <f aca="false">IF(COUNT(B16:G16)=0,"",IF(AND(((B16+C16+D16)&gt;=2),((E16+F16)&gt;=2),((G16)&gt;=1)),"Transfer",IF(AND(((B16+C16+D16)&gt;=2),((E16+F16)&gt;=2)),"Deep",IF(((B16+C16+D16)&gt;=2),"Surface","Emerging"))))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G17" s="13"/>
      <c r="I17" s="14" t="str">
        <f aca="false">IF(COUNT(B17:G17)=0,"",IF(AND(((B17+C17+D17)&gt;=2),((E17+F17)&gt;=2),((G17)&gt;=1)),"Transfer",IF(AND(((B17+C17+D17)&gt;=2),((E17+F17)&gt;=2)),"Deep",IF(((B17+C17+D17)&gt;=2),"Surface","Emerging"))))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G18" s="13"/>
      <c r="I18" s="14" t="str">
        <f aca="false">IF(COUNT(B18:G18)=0,"",IF(AND(((B18+C18+D18)&gt;=2),((E18+F18)&gt;=2),((G18)&gt;=1)),"Transfer",IF(AND(((B18+C18+D18)&gt;=2),((E18+F18)&gt;=2)),"Deep",IF(((B18+C18+D18)&gt;=2),"Surface","Emerging"))))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G19" s="13"/>
      <c r="I19" s="14" t="str">
        <f aca="false">IF(COUNT(B19:G19)=0,"",IF(AND(((B19+C19+D19)&gt;=2),((E19+F19)&gt;=2),((G19)&gt;=1)),"Transfer",IF(AND(((B19+C19+D19)&gt;=2),((E19+F19)&gt;=2)),"Deep",IF(((B19+C19+D19)&gt;=2),"Surface","Emerging"))))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G20" s="13"/>
      <c r="I20" s="14" t="str">
        <f aca="false">IF(COUNT(B20:G20)=0,"",IF(AND(((B20+C20+D20)&gt;=2),((E20+F20)&gt;=2),((G20)&gt;=1)),"Transfer",IF(AND(((B20+C20+D20)&gt;=2),((E20+F20)&gt;=2)),"Deep",IF(((B20+C20+D20)&gt;=2),"Surface","Emerging"))))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  <c r="H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  <c r="G24" s="17" t="str">
        <f aca="false">IF(COUNT(G6:G20)=0,"",AVERAGE(G6:G20))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COUNTIF(I6:I20,"Surface")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COUNTIF(I6:I20,"Deep")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COUNTIF(I6:I20,"Transfer")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COUNTIF(I6:I20,"Emerging")</f>
        <v>0</v>
      </c>
    </row>
  </sheetData>
  <mergeCells count="3">
    <mergeCell ref="A1:H1"/>
    <mergeCell ref="A2:H2"/>
    <mergeCell ref="A21:H21"/>
  </mergeCells>
  <dataValidations count="1">
    <dataValidation allowBlank="true" error="Enter 1 (correct) or 0 (not yet)." errorStyle="stop" errorTitle="Invalid entry" operator="between" showDropDown="false" showErrorMessage="false" showInputMessage="false" sqref="B6:G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3"/>
    <col collapsed="false" customWidth="true" hidden="false" outlineLevel="0" max="8" min="8" style="0" width="15"/>
  </cols>
  <sheetData>
    <row r="1" customFormat="false" ht="30" hidden="false" customHeight="true" outlineLevel="0" collapsed="false">
      <c r="A1" s="6" t="s">
        <v>70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</row>
    <row r="4" customFormat="false" ht="26.85" hidden="false" customHeight="false" outlineLevel="0" collapsed="false">
      <c r="A4" s="8" t="s">
        <v>26</v>
      </c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H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35</v>
      </c>
      <c r="E5" s="11" t="s">
        <v>35</v>
      </c>
      <c r="F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H6" s="14" t="str">
        <f aca="false">IF(COUNT(B6:F6)=0,"",IF(AND(((B6+C6)&gt;=1),((D6+E6)&gt;=2),((F6)&gt;=1)),"Transfer",IF(AND(((B6+C6)&gt;=1),((D6+E6)&gt;=2)),"Deep",IF(((B6+C6)&gt;=1),"Surface","Emerging"))))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H7" s="14" t="str">
        <f aca="false">IF(COUNT(B7:F7)=0,"",IF(AND(((B7+C7)&gt;=1),((D7+E7)&gt;=2),((F7)&gt;=1)),"Transfer",IF(AND(((B7+C7)&gt;=1),((D7+E7)&gt;=2)),"Deep",IF(((B7+C7)&gt;=1),"Surface","Emerging"))))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H8" s="14" t="str">
        <f aca="false">IF(COUNT(B8:F8)=0,"",IF(AND(((B8+C8)&gt;=1),((D8+E8)&gt;=2),((F8)&gt;=1)),"Transfer",IF(AND(((B8+C8)&gt;=1),((D8+E8)&gt;=2)),"Deep",IF(((B8+C8)&gt;=1),"Surface","Emerging"))))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H9" s="14" t="str">
        <f aca="false">IF(COUNT(B9:F9)=0,"",IF(AND(((B9+C9)&gt;=1),((D9+E9)&gt;=2),((F9)&gt;=1)),"Transfer",IF(AND(((B9+C9)&gt;=1),((D9+E9)&gt;=2)),"Deep",IF(((B9+C9)&gt;=1),"Surface","Emerging"))))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H10" s="14" t="str">
        <f aca="false">IF(COUNT(B10:F10)=0,"",IF(AND(((B10+C10)&gt;=1),((D10+E10)&gt;=2),((F10)&gt;=1)),"Transfer",IF(AND(((B10+C10)&gt;=1),((D10+E10)&gt;=2)),"Deep",IF(((B10+C10)&gt;=1),"Surface","Emerging"))))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H11" s="14" t="str">
        <f aca="false">IF(COUNT(B11:F11)=0,"",IF(AND(((B11+C11)&gt;=1),((D11+E11)&gt;=2),((F11)&gt;=1)),"Transfer",IF(AND(((B11+C11)&gt;=1),((D11+E11)&gt;=2)),"Deep",IF(((B11+C11)&gt;=1),"Surface","Emerging"))))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H12" s="14" t="str">
        <f aca="false">IF(COUNT(B12:F12)=0,"",IF(AND(((B12+C12)&gt;=1),((D12+E12)&gt;=2),((F12)&gt;=1)),"Transfer",IF(AND(((B12+C12)&gt;=1),((D12+E12)&gt;=2)),"Deep",IF(((B12+C12)&gt;=1),"Surface","Emerging"))))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H13" s="14" t="str">
        <f aca="false">IF(COUNT(B13:F13)=0,"",IF(AND(((B13+C13)&gt;=1),((D13+E13)&gt;=2),((F13)&gt;=1)),"Transfer",IF(AND(((B13+C13)&gt;=1),((D13+E13)&gt;=2)),"Deep",IF(((B13+C13)&gt;=1),"Surface","Emerging"))))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H14" s="14" t="str">
        <f aca="false">IF(COUNT(B14:F14)=0,"",IF(AND(((B14+C14)&gt;=1),((D14+E14)&gt;=2),((F14)&gt;=1)),"Transfer",IF(AND(((B14+C14)&gt;=1),((D14+E14)&gt;=2)),"Deep",IF(((B14+C14)&gt;=1),"Surface","Emerging"))))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H15" s="14" t="str">
        <f aca="false">IF(COUNT(B15:F15)=0,"",IF(AND(((B15+C15)&gt;=1),((D15+E15)&gt;=2),((F15)&gt;=1)),"Transfer",IF(AND(((B15+C15)&gt;=1),((D15+E15)&gt;=2)),"Deep",IF(((B15+C15)&gt;=1),"Surface","Emerging"))))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H16" s="14" t="str">
        <f aca="false">IF(COUNT(B16:F16)=0,"",IF(AND(((B16+C16)&gt;=1),((D16+E16)&gt;=2),((F16)&gt;=1)),"Transfer",IF(AND(((B16+C16)&gt;=1),((D16+E16)&gt;=2)),"Deep",IF(((B16+C16)&gt;=1),"Surface","Emerging"))))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H17" s="14" t="str">
        <f aca="false">IF(COUNT(B17:F17)=0,"",IF(AND(((B17+C17)&gt;=1),((D17+E17)&gt;=2),((F17)&gt;=1)),"Transfer",IF(AND(((B17+C17)&gt;=1),((D17+E17)&gt;=2)),"Deep",IF(((B17+C17)&gt;=1),"Surface","Emerging"))))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H18" s="14" t="str">
        <f aca="false">IF(COUNT(B18:F18)=0,"",IF(AND(((B18+C18)&gt;=1),((D18+E18)&gt;=2),((F18)&gt;=1)),"Transfer",IF(AND(((B18+C18)&gt;=1),((D18+E18)&gt;=2)),"Deep",IF(((B18+C18)&gt;=1),"Surface","Emerging"))))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H19" s="14" t="str">
        <f aca="false">IF(COUNT(B19:F19)=0,"",IF(AND(((B19+C19)&gt;=1),((D19+E19)&gt;=2),((F19)&gt;=1)),"Transfer",IF(AND(((B19+C19)&gt;=1),((D19+E19)&gt;=2)),"Deep",IF(((B19+C19)&gt;=1),"Surface","Emerging"))))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H20" s="14" t="str">
        <f aca="false">IF(COUNT(B20:F20)=0,"",IF(AND(((B20+C20)&gt;=1),((D20+E20)&gt;=2),((F20)&gt;=1)),"Transfer",IF(AND(((B20+C20)&gt;=1),((D20+E20)&gt;=2)),"Deep",IF(((B20+C20)&gt;=1),"Surface","Emerging"))))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COUNTIF(H6:H20,"Surface")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COUNTIF(H6:H20,"Deep")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COUNTIF(H6:H20,"Transfer")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COUNTIF(H6:H20,"Emerging")</f>
        <v>0</v>
      </c>
    </row>
  </sheetData>
  <mergeCells count="3">
    <mergeCell ref="A1:G1"/>
    <mergeCell ref="A2:G2"/>
    <mergeCell ref="A21:G21"/>
  </mergeCells>
  <dataValidations count="1">
    <dataValidation allowBlank="true" error="Enter 1 (correct) or 0 (not yet)." errorStyle="stop" errorTitle="Invalid entry" operator="between" showDropDown="false" showErrorMessage="false" showInputMessage="false" sqref="B6:F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3"/>
    <col collapsed="false" customWidth="true" hidden="false" outlineLevel="0" max="9" min="9" style="0" width="15"/>
  </cols>
  <sheetData>
    <row r="1" customFormat="false" ht="30" hidden="false" customHeight="true" outlineLevel="0" collapsed="false">
      <c r="A1" s="6" t="s">
        <v>76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  <c r="H2" s="7"/>
    </row>
    <row r="4" customFormat="false" ht="26.85" hidden="false" customHeight="false" outlineLevel="0" collapsed="false">
      <c r="A4" s="8" t="s">
        <v>26</v>
      </c>
      <c r="B4" s="9" t="s">
        <v>77</v>
      </c>
      <c r="C4" s="9" t="s">
        <v>78</v>
      </c>
      <c r="D4" s="9" t="s">
        <v>79</v>
      </c>
      <c r="E4" s="9" t="s">
        <v>80</v>
      </c>
      <c r="F4" s="9" t="s">
        <v>81</v>
      </c>
      <c r="G4" s="9" t="s">
        <v>82</v>
      </c>
      <c r="I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34</v>
      </c>
      <c r="E5" s="11" t="s">
        <v>35</v>
      </c>
      <c r="F5" s="11" t="s">
        <v>35</v>
      </c>
      <c r="G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G6" s="13"/>
      <c r="I6" s="14" t="str">
        <f aca="false">IF(COUNT(B6:G6)=0,"",IF(AND(((B6+C6+D6)&gt;=2),((E6+F6)&gt;=2),((G6)&gt;=1)),"Transfer",IF(AND(((B6+C6+D6)&gt;=2),((E6+F6)&gt;=2)),"Deep",IF(((B6+C6+D6)&gt;=2),"Surface","Emerging"))))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G7" s="13"/>
      <c r="I7" s="14" t="str">
        <f aca="false">IF(COUNT(B7:G7)=0,"",IF(AND(((B7+C7+D7)&gt;=2),((E7+F7)&gt;=2),((G7)&gt;=1)),"Transfer",IF(AND(((B7+C7+D7)&gt;=2),((E7+F7)&gt;=2)),"Deep",IF(((B7+C7+D7)&gt;=2),"Surface","Emerging"))))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G8" s="13"/>
      <c r="I8" s="14" t="str">
        <f aca="false">IF(COUNT(B8:G8)=0,"",IF(AND(((B8+C8+D8)&gt;=2),((E8+F8)&gt;=2),((G8)&gt;=1)),"Transfer",IF(AND(((B8+C8+D8)&gt;=2),((E8+F8)&gt;=2)),"Deep",IF(((B8+C8+D8)&gt;=2),"Surface","Emerging"))))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G9" s="13"/>
      <c r="I9" s="14" t="str">
        <f aca="false">IF(COUNT(B9:G9)=0,"",IF(AND(((B9+C9+D9)&gt;=2),((E9+F9)&gt;=2),((G9)&gt;=1)),"Transfer",IF(AND(((B9+C9+D9)&gt;=2),((E9+F9)&gt;=2)),"Deep",IF(((B9+C9+D9)&gt;=2),"Surface","Emerging"))))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G10" s="13"/>
      <c r="I10" s="14" t="str">
        <f aca="false">IF(COUNT(B10:G10)=0,"",IF(AND(((B10+C10+D10)&gt;=2),((E10+F10)&gt;=2),((G10)&gt;=1)),"Transfer",IF(AND(((B10+C10+D10)&gt;=2),((E10+F10)&gt;=2)),"Deep",IF(((B10+C10+D10)&gt;=2),"Surface","Emerging"))))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G11" s="13"/>
      <c r="I11" s="14" t="str">
        <f aca="false">IF(COUNT(B11:G11)=0,"",IF(AND(((B11+C11+D11)&gt;=2),((E11+F11)&gt;=2),((G11)&gt;=1)),"Transfer",IF(AND(((B11+C11+D11)&gt;=2),((E11+F11)&gt;=2)),"Deep",IF(((B11+C11+D11)&gt;=2),"Surface","Emerging"))))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G12" s="13"/>
      <c r="I12" s="14" t="str">
        <f aca="false">IF(COUNT(B12:G12)=0,"",IF(AND(((B12+C12+D12)&gt;=2),((E12+F12)&gt;=2),((G12)&gt;=1)),"Transfer",IF(AND(((B12+C12+D12)&gt;=2),((E12+F12)&gt;=2)),"Deep",IF(((B12+C12+D12)&gt;=2),"Surface","Emerging"))))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G13" s="13"/>
      <c r="I13" s="14" t="str">
        <f aca="false">IF(COUNT(B13:G13)=0,"",IF(AND(((B13+C13+D13)&gt;=2),((E13+F13)&gt;=2),((G13)&gt;=1)),"Transfer",IF(AND(((B13+C13+D13)&gt;=2),((E13+F13)&gt;=2)),"Deep",IF(((B13+C13+D13)&gt;=2),"Surface","Emerging"))))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G14" s="13"/>
      <c r="I14" s="14" t="str">
        <f aca="false">IF(COUNT(B14:G14)=0,"",IF(AND(((B14+C14+D14)&gt;=2),((E14+F14)&gt;=2),((G14)&gt;=1)),"Transfer",IF(AND(((B14+C14+D14)&gt;=2),((E14+F14)&gt;=2)),"Deep",IF(((B14+C14+D14)&gt;=2),"Surface","Emerging"))))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G15" s="13"/>
      <c r="I15" s="14" t="str">
        <f aca="false">IF(COUNT(B15:G15)=0,"",IF(AND(((B15+C15+D15)&gt;=2),((E15+F15)&gt;=2),((G15)&gt;=1)),"Transfer",IF(AND(((B15+C15+D15)&gt;=2),((E15+F15)&gt;=2)),"Deep",IF(((B15+C15+D15)&gt;=2),"Surface","Emerging"))))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G16" s="13"/>
      <c r="I16" s="14" t="str">
        <f aca="false">IF(COUNT(B16:G16)=0,"",IF(AND(((B16+C16+D16)&gt;=2),((E16+F16)&gt;=2),((G16)&gt;=1)),"Transfer",IF(AND(((B16+C16+D16)&gt;=2),((E16+F16)&gt;=2)),"Deep",IF(((B16+C16+D16)&gt;=2),"Surface","Emerging"))))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G17" s="13"/>
      <c r="I17" s="14" t="str">
        <f aca="false">IF(COUNT(B17:G17)=0,"",IF(AND(((B17+C17+D17)&gt;=2),((E17+F17)&gt;=2),((G17)&gt;=1)),"Transfer",IF(AND(((B17+C17+D17)&gt;=2),((E17+F17)&gt;=2)),"Deep",IF(((B17+C17+D17)&gt;=2),"Surface","Emerging"))))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G18" s="13"/>
      <c r="I18" s="14" t="str">
        <f aca="false">IF(COUNT(B18:G18)=0,"",IF(AND(((B18+C18+D18)&gt;=2),((E18+F18)&gt;=2),((G18)&gt;=1)),"Transfer",IF(AND(((B18+C18+D18)&gt;=2),((E18+F18)&gt;=2)),"Deep",IF(((B18+C18+D18)&gt;=2),"Surface","Emerging"))))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G19" s="13"/>
      <c r="I19" s="14" t="str">
        <f aca="false">IF(COUNT(B19:G19)=0,"",IF(AND(((B19+C19+D19)&gt;=2),((E19+F19)&gt;=2),((G19)&gt;=1)),"Transfer",IF(AND(((B19+C19+D19)&gt;=2),((E19+F19)&gt;=2)),"Deep",IF(((B19+C19+D19)&gt;=2),"Surface","Emerging"))))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G20" s="13"/>
      <c r="I20" s="14" t="str">
        <f aca="false">IF(COUNT(B20:G20)=0,"",IF(AND(((B20+C20+D20)&gt;=2),((E20+F20)&gt;=2),((G20)&gt;=1)),"Transfer",IF(AND(((B20+C20+D20)&gt;=2),((E20+F20)&gt;=2)),"Deep",IF(((B20+C20+D20)&gt;=2),"Surface","Emerging"))))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  <c r="H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  <c r="G24" s="17" t="str">
        <f aca="false">IF(COUNT(G6:G20)=0,"",AVERAGE(G6:G20))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COUNTIF(I6:I20,"Surface")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COUNTIF(I6:I20,"Deep")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COUNTIF(I6:I20,"Transfer")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COUNTIF(I6:I20,"Emerging")</f>
        <v>0</v>
      </c>
    </row>
  </sheetData>
  <mergeCells count="3">
    <mergeCell ref="A1:H1"/>
    <mergeCell ref="A2:H2"/>
    <mergeCell ref="A21:H21"/>
  </mergeCells>
  <dataValidations count="1">
    <dataValidation allowBlank="true" error="Enter 1 (correct) or 0 (not yet)." errorStyle="stop" errorTitle="Invalid entry" operator="between" showDropDown="false" showErrorMessage="false" showInputMessage="false" sqref="B6:G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3"/>
    <col collapsed="false" customWidth="true" hidden="false" outlineLevel="0" max="9" min="9" style="0" width="15"/>
  </cols>
  <sheetData>
    <row r="1" customFormat="false" ht="30" hidden="false" customHeight="true" outlineLevel="0" collapsed="false">
      <c r="A1" s="6" t="s">
        <v>83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  <c r="H2" s="7"/>
    </row>
    <row r="4" customFormat="false" ht="26.85" hidden="false" customHeight="false" outlineLevel="0" collapsed="false">
      <c r="A4" s="8" t="s">
        <v>26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I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34</v>
      </c>
      <c r="E5" s="11" t="s">
        <v>35</v>
      </c>
      <c r="F5" s="11" t="s">
        <v>35</v>
      </c>
      <c r="G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G6" s="13"/>
      <c r="I6" s="14" t="str">
        <f aca="false">IF(COUNT(B6:G6)=0,"",IF(AND(((B6+C6+D6)&gt;=2),((E6+F6)&gt;=2),((G6)&gt;=1)),"Transfer",IF(AND(((B6+C6+D6)&gt;=2),((E6+F6)&gt;=2)),"Deep",IF(((B6+C6+D6)&gt;=2),"Surface","Emerging"))))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G7" s="13"/>
      <c r="I7" s="14" t="str">
        <f aca="false">IF(COUNT(B7:G7)=0,"",IF(AND(((B7+C7+D7)&gt;=2),((E7+F7)&gt;=2),((G7)&gt;=1)),"Transfer",IF(AND(((B7+C7+D7)&gt;=2),((E7+F7)&gt;=2)),"Deep",IF(((B7+C7+D7)&gt;=2),"Surface","Emerging"))))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G8" s="13"/>
      <c r="I8" s="14" t="str">
        <f aca="false">IF(COUNT(B8:G8)=0,"",IF(AND(((B8+C8+D8)&gt;=2),((E8+F8)&gt;=2),((G8)&gt;=1)),"Transfer",IF(AND(((B8+C8+D8)&gt;=2),((E8+F8)&gt;=2)),"Deep",IF(((B8+C8+D8)&gt;=2),"Surface","Emerging"))))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G9" s="13"/>
      <c r="I9" s="14" t="str">
        <f aca="false">IF(COUNT(B9:G9)=0,"",IF(AND(((B9+C9+D9)&gt;=2),((E9+F9)&gt;=2),((G9)&gt;=1)),"Transfer",IF(AND(((B9+C9+D9)&gt;=2),((E9+F9)&gt;=2)),"Deep",IF(((B9+C9+D9)&gt;=2),"Surface","Emerging"))))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G10" s="13"/>
      <c r="I10" s="14" t="str">
        <f aca="false">IF(COUNT(B10:G10)=0,"",IF(AND(((B10+C10+D10)&gt;=2),((E10+F10)&gt;=2),((G10)&gt;=1)),"Transfer",IF(AND(((B10+C10+D10)&gt;=2),((E10+F10)&gt;=2)),"Deep",IF(((B10+C10+D10)&gt;=2),"Surface","Emerging"))))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G11" s="13"/>
      <c r="I11" s="14" t="str">
        <f aca="false">IF(COUNT(B11:G11)=0,"",IF(AND(((B11+C11+D11)&gt;=2),((E11+F11)&gt;=2),((G11)&gt;=1)),"Transfer",IF(AND(((B11+C11+D11)&gt;=2),((E11+F11)&gt;=2)),"Deep",IF(((B11+C11+D11)&gt;=2),"Surface","Emerging"))))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G12" s="13"/>
      <c r="I12" s="14" t="str">
        <f aca="false">IF(COUNT(B12:G12)=0,"",IF(AND(((B12+C12+D12)&gt;=2),((E12+F12)&gt;=2),((G12)&gt;=1)),"Transfer",IF(AND(((B12+C12+D12)&gt;=2),((E12+F12)&gt;=2)),"Deep",IF(((B12+C12+D12)&gt;=2),"Surface","Emerging"))))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G13" s="13"/>
      <c r="I13" s="14" t="str">
        <f aca="false">IF(COUNT(B13:G13)=0,"",IF(AND(((B13+C13+D13)&gt;=2),((E13+F13)&gt;=2),((G13)&gt;=1)),"Transfer",IF(AND(((B13+C13+D13)&gt;=2),((E13+F13)&gt;=2)),"Deep",IF(((B13+C13+D13)&gt;=2),"Surface","Emerging"))))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G14" s="13"/>
      <c r="I14" s="14" t="str">
        <f aca="false">IF(COUNT(B14:G14)=0,"",IF(AND(((B14+C14+D14)&gt;=2),((E14+F14)&gt;=2),((G14)&gt;=1)),"Transfer",IF(AND(((B14+C14+D14)&gt;=2),((E14+F14)&gt;=2)),"Deep",IF(((B14+C14+D14)&gt;=2),"Surface","Emerging"))))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G15" s="13"/>
      <c r="I15" s="14" t="str">
        <f aca="false">IF(COUNT(B15:G15)=0,"",IF(AND(((B15+C15+D15)&gt;=2),((E15+F15)&gt;=2),((G15)&gt;=1)),"Transfer",IF(AND(((B15+C15+D15)&gt;=2),((E15+F15)&gt;=2)),"Deep",IF(((B15+C15+D15)&gt;=2),"Surface","Emerging"))))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G16" s="13"/>
      <c r="I16" s="14" t="str">
        <f aca="false">IF(COUNT(B16:G16)=0,"",IF(AND(((B16+C16+D16)&gt;=2),((E16+F16)&gt;=2),((G16)&gt;=1)),"Transfer",IF(AND(((B16+C16+D16)&gt;=2),((E16+F16)&gt;=2)),"Deep",IF(((B16+C16+D16)&gt;=2),"Surface","Emerging"))))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G17" s="13"/>
      <c r="I17" s="14" t="str">
        <f aca="false">IF(COUNT(B17:G17)=0,"",IF(AND(((B17+C17+D17)&gt;=2),((E17+F17)&gt;=2),((G17)&gt;=1)),"Transfer",IF(AND(((B17+C17+D17)&gt;=2),((E17+F17)&gt;=2)),"Deep",IF(((B17+C17+D17)&gt;=2),"Surface","Emerging"))))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G18" s="13"/>
      <c r="I18" s="14" t="str">
        <f aca="false">IF(COUNT(B18:G18)=0,"",IF(AND(((B18+C18+D18)&gt;=2),((E18+F18)&gt;=2),((G18)&gt;=1)),"Transfer",IF(AND(((B18+C18+D18)&gt;=2),((E18+F18)&gt;=2)),"Deep",IF(((B18+C18+D18)&gt;=2),"Surface","Emerging"))))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G19" s="13"/>
      <c r="I19" s="14" t="str">
        <f aca="false">IF(COUNT(B19:G19)=0,"",IF(AND(((B19+C19+D19)&gt;=2),((E19+F19)&gt;=2),((G19)&gt;=1)),"Transfer",IF(AND(((B19+C19+D19)&gt;=2),((E19+F19)&gt;=2)),"Deep",IF(((B19+C19+D19)&gt;=2),"Surface","Emerging"))))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G20" s="13"/>
      <c r="I20" s="14" t="str">
        <f aca="false">IF(COUNT(B20:G20)=0,"",IF(AND(((B20+C20+D20)&gt;=2),((E20+F20)&gt;=2),((G20)&gt;=1)),"Transfer",IF(AND(((B20+C20+D20)&gt;=2),((E20+F20)&gt;=2)),"Deep",IF(((B20+C20+D20)&gt;=2),"Surface","Emerging"))))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  <c r="H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  <c r="G24" s="17" t="str">
        <f aca="false">IF(COUNT(G6:G20)=0,"",AVERAGE(G6:G20))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COUNTIF(I6:I20,"Surface")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COUNTIF(I6:I20,"Deep")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COUNTIF(I6:I20,"Transfer")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COUNTIF(I6:I20,"Emerging")</f>
        <v>0</v>
      </c>
    </row>
  </sheetData>
  <mergeCells count="3">
    <mergeCell ref="A1:H1"/>
    <mergeCell ref="A2:H2"/>
    <mergeCell ref="A21:H21"/>
  </mergeCells>
  <dataValidations count="1">
    <dataValidation allowBlank="true" error="Enter 1 (correct) or 0 (not yet)." errorStyle="stop" errorTitle="Invalid entry" operator="between" showDropDown="false" showErrorMessage="false" showInputMessage="false" sqref="B6:G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3"/>
    <col collapsed="false" customWidth="true" hidden="false" outlineLevel="0" max="8" min="8" style="0" width="15"/>
  </cols>
  <sheetData>
    <row r="1" customFormat="false" ht="30" hidden="false" customHeight="true" outlineLevel="0" collapsed="false">
      <c r="A1" s="6" t="s">
        <v>90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</row>
    <row r="4" customFormat="false" ht="26.85" hidden="false" customHeight="false" outlineLevel="0" collapsed="false">
      <c r="A4" s="8" t="s">
        <v>26</v>
      </c>
      <c r="B4" s="9" t="s">
        <v>91</v>
      </c>
      <c r="C4" s="9" t="s">
        <v>92</v>
      </c>
      <c r="D4" s="9" t="s">
        <v>93</v>
      </c>
      <c r="E4" s="9" t="s">
        <v>94</v>
      </c>
      <c r="F4" s="9" t="s">
        <v>95</v>
      </c>
      <c r="H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35</v>
      </c>
      <c r="E5" s="11" t="s">
        <v>35</v>
      </c>
      <c r="F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H6" s="14" t="str">
        <f aca="false">IF(COUNT(B6:F6)=0,"",IF(AND(((B6+C6)&gt;=1),((D6+E6)&gt;=2),((F6)&gt;=1)),"Transfer",IF(AND(((B6+C6)&gt;=1),((D6+E6)&gt;=2)),"Deep",IF(((B6+C6)&gt;=1),"Surface","Emerging"))))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H7" s="14" t="str">
        <f aca="false">IF(COUNT(B7:F7)=0,"",IF(AND(((B7+C7)&gt;=1),((D7+E7)&gt;=2),((F7)&gt;=1)),"Transfer",IF(AND(((B7+C7)&gt;=1),((D7+E7)&gt;=2)),"Deep",IF(((B7+C7)&gt;=1),"Surface","Emerging"))))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H8" s="14" t="str">
        <f aca="false">IF(COUNT(B8:F8)=0,"",IF(AND(((B8+C8)&gt;=1),((D8+E8)&gt;=2),((F8)&gt;=1)),"Transfer",IF(AND(((B8+C8)&gt;=1),((D8+E8)&gt;=2)),"Deep",IF(((B8+C8)&gt;=1),"Surface","Emerging"))))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H9" s="14" t="str">
        <f aca="false">IF(COUNT(B9:F9)=0,"",IF(AND(((B9+C9)&gt;=1),((D9+E9)&gt;=2),((F9)&gt;=1)),"Transfer",IF(AND(((B9+C9)&gt;=1),((D9+E9)&gt;=2)),"Deep",IF(((B9+C9)&gt;=1),"Surface","Emerging"))))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H10" s="14" t="str">
        <f aca="false">IF(COUNT(B10:F10)=0,"",IF(AND(((B10+C10)&gt;=1),((D10+E10)&gt;=2),((F10)&gt;=1)),"Transfer",IF(AND(((B10+C10)&gt;=1),((D10+E10)&gt;=2)),"Deep",IF(((B10+C10)&gt;=1),"Surface","Emerging"))))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H11" s="14" t="str">
        <f aca="false">IF(COUNT(B11:F11)=0,"",IF(AND(((B11+C11)&gt;=1),((D11+E11)&gt;=2),((F11)&gt;=1)),"Transfer",IF(AND(((B11+C11)&gt;=1),((D11+E11)&gt;=2)),"Deep",IF(((B11+C11)&gt;=1),"Surface","Emerging"))))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H12" s="14" t="str">
        <f aca="false">IF(COUNT(B12:F12)=0,"",IF(AND(((B12+C12)&gt;=1),((D12+E12)&gt;=2),((F12)&gt;=1)),"Transfer",IF(AND(((B12+C12)&gt;=1),((D12+E12)&gt;=2)),"Deep",IF(((B12+C12)&gt;=1),"Surface","Emerging"))))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H13" s="14" t="str">
        <f aca="false">IF(COUNT(B13:F13)=0,"",IF(AND(((B13+C13)&gt;=1),((D13+E13)&gt;=2),((F13)&gt;=1)),"Transfer",IF(AND(((B13+C13)&gt;=1),((D13+E13)&gt;=2)),"Deep",IF(((B13+C13)&gt;=1),"Surface","Emerging"))))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H14" s="14" t="str">
        <f aca="false">IF(COUNT(B14:F14)=0,"",IF(AND(((B14+C14)&gt;=1),((D14+E14)&gt;=2),((F14)&gt;=1)),"Transfer",IF(AND(((B14+C14)&gt;=1),((D14+E14)&gt;=2)),"Deep",IF(((B14+C14)&gt;=1),"Surface","Emerging"))))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H15" s="14" t="str">
        <f aca="false">IF(COUNT(B15:F15)=0,"",IF(AND(((B15+C15)&gt;=1),((D15+E15)&gt;=2),((F15)&gt;=1)),"Transfer",IF(AND(((B15+C15)&gt;=1),((D15+E15)&gt;=2)),"Deep",IF(((B15+C15)&gt;=1),"Surface","Emerging"))))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H16" s="14" t="str">
        <f aca="false">IF(COUNT(B16:F16)=0,"",IF(AND(((B16+C16)&gt;=1),((D16+E16)&gt;=2),((F16)&gt;=1)),"Transfer",IF(AND(((B16+C16)&gt;=1),((D16+E16)&gt;=2)),"Deep",IF(((B16+C16)&gt;=1),"Surface","Emerging"))))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H17" s="14" t="str">
        <f aca="false">IF(COUNT(B17:F17)=0,"",IF(AND(((B17+C17)&gt;=1),((D17+E17)&gt;=2),((F17)&gt;=1)),"Transfer",IF(AND(((B17+C17)&gt;=1),((D17+E17)&gt;=2)),"Deep",IF(((B17+C17)&gt;=1),"Surface","Emerging"))))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H18" s="14" t="str">
        <f aca="false">IF(COUNT(B18:F18)=0,"",IF(AND(((B18+C18)&gt;=1),((D18+E18)&gt;=2),((F18)&gt;=1)),"Transfer",IF(AND(((B18+C18)&gt;=1),((D18+E18)&gt;=2)),"Deep",IF(((B18+C18)&gt;=1),"Surface","Emerging"))))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H19" s="14" t="str">
        <f aca="false">IF(COUNT(B19:F19)=0,"",IF(AND(((B19+C19)&gt;=1),((D19+E19)&gt;=2),((F19)&gt;=1)),"Transfer",IF(AND(((B19+C19)&gt;=1),((D19+E19)&gt;=2)),"Deep",IF(((B19+C19)&gt;=1),"Surface","Emerging"))))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H20" s="14" t="str">
        <f aca="false">IF(COUNT(B20:F20)=0,"",IF(AND(((B20+C20)&gt;=1),((D20+E20)&gt;=2),((F20)&gt;=1)),"Transfer",IF(AND(((B20+C20)&gt;=1),((D20+E20)&gt;=2)),"Deep",IF(((B20+C20)&gt;=1),"Surface","Emerging"))))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COUNTIF(H6:H20,"Surface")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COUNTIF(H6:H20,"Deep")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COUNTIF(H6:H20,"Transfer")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COUNTIF(H6:H20,"Emerging")</f>
        <v>0</v>
      </c>
    </row>
  </sheetData>
  <mergeCells count="3">
    <mergeCell ref="A1:G1"/>
    <mergeCell ref="A2:G2"/>
    <mergeCell ref="A21:G21"/>
  </mergeCells>
  <dataValidations count="1">
    <dataValidation allowBlank="true" error="Enter 1 (correct) or 0 (not yet)." errorStyle="stop" errorTitle="Invalid entry" operator="between" showDropDown="false" showErrorMessage="false" showInputMessage="false" sqref="B6:F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3"/>
    <col collapsed="false" customWidth="true" hidden="false" outlineLevel="0" max="9" min="9" style="0" width="15"/>
  </cols>
  <sheetData>
    <row r="1" customFormat="false" ht="30" hidden="false" customHeight="true" outlineLevel="0" collapsed="false">
      <c r="A1" s="6" t="s">
        <v>96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  <c r="H2" s="7"/>
    </row>
    <row r="4" customFormat="false" ht="26.85" hidden="false" customHeight="false" outlineLevel="0" collapsed="false">
      <c r="A4" s="8" t="s">
        <v>26</v>
      </c>
      <c r="B4" s="9" t="s">
        <v>97</v>
      </c>
      <c r="C4" s="9" t="s">
        <v>98</v>
      </c>
      <c r="D4" s="9" t="s">
        <v>99</v>
      </c>
      <c r="E4" s="9" t="s">
        <v>100</v>
      </c>
      <c r="F4" s="9" t="s">
        <v>101</v>
      </c>
      <c r="G4" s="9" t="s">
        <v>102</v>
      </c>
      <c r="I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34</v>
      </c>
      <c r="E5" s="11" t="s">
        <v>35</v>
      </c>
      <c r="F5" s="11" t="s">
        <v>35</v>
      </c>
      <c r="G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G6" s="13"/>
      <c r="I6" s="14" t="str">
        <f aca="false">IF(COUNT(B6:G6)=0,"",IF(AND(((B6+C6+D6)&gt;=2),((E6+F6)&gt;=2),((G6)&gt;=1)),"Transfer",IF(AND(((B6+C6+D6)&gt;=2),((E6+F6)&gt;=2)),"Deep",IF(((B6+C6+D6)&gt;=2),"Surface","Emerging"))))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G7" s="13"/>
      <c r="I7" s="14" t="str">
        <f aca="false">IF(COUNT(B7:G7)=0,"",IF(AND(((B7+C7+D7)&gt;=2),((E7+F7)&gt;=2),((G7)&gt;=1)),"Transfer",IF(AND(((B7+C7+D7)&gt;=2),((E7+F7)&gt;=2)),"Deep",IF(((B7+C7+D7)&gt;=2),"Surface","Emerging"))))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G8" s="13"/>
      <c r="I8" s="14" t="str">
        <f aca="false">IF(COUNT(B8:G8)=0,"",IF(AND(((B8+C8+D8)&gt;=2),((E8+F8)&gt;=2),((G8)&gt;=1)),"Transfer",IF(AND(((B8+C8+D8)&gt;=2),((E8+F8)&gt;=2)),"Deep",IF(((B8+C8+D8)&gt;=2),"Surface","Emerging"))))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G9" s="13"/>
      <c r="I9" s="14" t="str">
        <f aca="false">IF(COUNT(B9:G9)=0,"",IF(AND(((B9+C9+D9)&gt;=2),((E9+F9)&gt;=2),((G9)&gt;=1)),"Transfer",IF(AND(((B9+C9+D9)&gt;=2),((E9+F9)&gt;=2)),"Deep",IF(((B9+C9+D9)&gt;=2),"Surface","Emerging"))))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G10" s="13"/>
      <c r="I10" s="14" t="str">
        <f aca="false">IF(COUNT(B10:G10)=0,"",IF(AND(((B10+C10+D10)&gt;=2),((E10+F10)&gt;=2),((G10)&gt;=1)),"Transfer",IF(AND(((B10+C10+D10)&gt;=2),((E10+F10)&gt;=2)),"Deep",IF(((B10+C10+D10)&gt;=2),"Surface","Emerging"))))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G11" s="13"/>
      <c r="I11" s="14" t="str">
        <f aca="false">IF(COUNT(B11:G11)=0,"",IF(AND(((B11+C11+D11)&gt;=2),((E11+F11)&gt;=2),((G11)&gt;=1)),"Transfer",IF(AND(((B11+C11+D11)&gt;=2),((E11+F11)&gt;=2)),"Deep",IF(((B11+C11+D11)&gt;=2),"Surface","Emerging"))))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G12" s="13"/>
      <c r="I12" s="14" t="str">
        <f aca="false">IF(COUNT(B12:G12)=0,"",IF(AND(((B12+C12+D12)&gt;=2),((E12+F12)&gt;=2),((G12)&gt;=1)),"Transfer",IF(AND(((B12+C12+D12)&gt;=2),((E12+F12)&gt;=2)),"Deep",IF(((B12+C12+D12)&gt;=2),"Surface","Emerging"))))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G13" s="13"/>
      <c r="I13" s="14" t="str">
        <f aca="false">IF(COUNT(B13:G13)=0,"",IF(AND(((B13+C13+D13)&gt;=2),((E13+F13)&gt;=2),((G13)&gt;=1)),"Transfer",IF(AND(((B13+C13+D13)&gt;=2),((E13+F13)&gt;=2)),"Deep",IF(((B13+C13+D13)&gt;=2),"Surface","Emerging"))))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G14" s="13"/>
      <c r="I14" s="14" t="str">
        <f aca="false">IF(COUNT(B14:G14)=0,"",IF(AND(((B14+C14+D14)&gt;=2),((E14+F14)&gt;=2),((G14)&gt;=1)),"Transfer",IF(AND(((B14+C14+D14)&gt;=2),((E14+F14)&gt;=2)),"Deep",IF(((B14+C14+D14)&gt;=2),"Surface","Emerging"))))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G15" s="13"/>
      <c r="I15" s="14" t="str">
        <f aca="false">IF(COUNT(B15:G15)=0,"",IF(AND(((B15+C15+D15)&gt;=2),((E15+F15)&gt;=2),((G15)&gt;=1)),"Transfer",IF(AND(((B15+C15+D15)&gt;=2),((E15+F15)&gt;=2)),"Deep",IF(((B15+C15+D15)&gt;=2),"Surface","Emerging"))))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G16" s="13"/>
      <c r="I16" s="14" t="str">
        <f aca="false">IF(COUNT(B16:G16)=0,"",IF(AND(((B16+C16+D16)&gt;=2),((E16+F16)&gt;=2),((G16)&gt;=1)),"Transfer",IF(AND(((B16+C16+D16)&gt;=2),((E16+F16)&gt;=2)),"Deep",IF(((B16+C16+D16)&gt;=2),"Surface","Emerging"))))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G17" s="13"/>
      <c r="I17" s="14" t="str">
        <f aca="false">IF(COUNT(B17:G17)=0,"",IF(AND(((B17+C17+D17)&gt;=2),((E17+F17)&gt;=2),((G17)&gt;=1)),"Transfer",IF(AND(((B17+C17+D17)&gt;=2),((E17+F17)&gt;=2)),"Deep",IF(((B17+C17+D17)&gt;=2),"Surface","Emerging"))))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G18" s="13"/>
      <c r="I18" s="14" t="str">
        <f aca="false">IF(COUNT(B18:G18)=0,"",IF(AND(((B18+C18+D18)&gt;=2),((E18+F18)&gt;=2),((G18)&gt;=1)),"Transfer",IF(AND(((B18+C18+D18)&gt;=2),((E18+F18)&gt;=2)),"Deep",IF(((B18+C18+D18)&gt;=2),"Surface","Emerging"))))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G19" s="13"/>
      <c r="I19" s="14" t="str">
        <f aca="false">IF(COUNT(B19:G19)=0,"",IF(AND(((B19+C19+D19)&gt;=2),((E19+F19)&gt;=2),((G19)&gt;=1)),"Transfer",IF(AND(((B19+C19+D19)&gt;=2),((E19+F19)&gt;=2)),"Deep",IF(((B19+C19+D19)&gt;=2),"Surface","Emerging"))))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G20" s="13"/>
      <c r="I20" s="14" t="str">
        <f aca="false">IF(COUNT(B20:G20)=0,"",IF(AND(((B20+C20+D20)&gt;=2),((E20+F20)&gt;=2),((G20)&gt;=1)),"Transfer",IF(AND(((B20+C20+D20)&gt;=2),((E20+F20)&gt;=2)),"Deep",IF(((B20+C20+D20)&gt;=2),"Surface","Emerging"))))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  <c r="H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  <c r="G24" s="17" t="str">
        <f aca="false">IF(COUNT(G6:G20)=0,"",AVERAGE(G6:G20))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COUNTIF(I6:I20,"Surface")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COUNTIF(I6:I20,"Deep")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COUNTIF(I6:I20,"Transfer")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COUNTIF(I6:I20,"Emerging")</f>
        <v>0</v>
      </c>
    </row>
  </sheetData>
  <mergeCells count="3">
    <mergeCell ref="A1:H1"/>
    <mergeCell ref="A2:H2"/>
    <mergeCell ref="A21:H21"/>
  </mergeCells>
  <dataValidations count="1">
    <dataValidation allowBlank="true" error="Enter 1 (correct) or 0 (not yet)." errorStyle="stop" errorTitle="Invalid entry" operator="between" showDropDown="false" showErrorMessage="false" showInputMessage="false" sqref="B6:G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7" min="2" style="0" width="13"/>
    <col collapsed="false" customWidth="true" hidden="false" outlineLevel="0" max="9" min="9" style="0" width="15"/>
  </cols>
  <sheetData>
    <row r="1" customFormat="false" ht="30" hidden="false" customHeight="true" outlineLevel="0" collapsed="false">
      <c r="A1" s="6" t="s">
        <v>103</v>
      </c>
      <c r="B1" s="6"/>
      <c r="C1" s="6"/>
      <c r="D1" s="6"/>
      <c r="E1" s="6"/>
      <c r="F1" s="6"/>
      <c r="G1" s="6"/>
      <c r="H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  <c r="H2" s="7"/>
    </row>
    <row r="4" customFormat="false" ht="26.85" hidden="false" customHeight="false" outlineLevel="0" collapsed="false">
      <c r="A4" s="8" t="s">
        <v>26</v>
      </c>
      <c r="B4" s="9" t="s">
        <v>104</v>
      </c>
      <c r="C4" s="9" t="s">
        <v>105</v>
      </c>
      <c r="D4" s="9" t="s">
        <v>106</v>
      </c>
      <c r="E4" s="9" t="s">
        <v>107</v>
      </c>
      <c r="F4" s="9" t="s">
        <v>108</v>
      </c>
      <c r="G4" s="9" t="s">
        <v>109</v>
      </c>
      <c r="I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34</v>
      </c>
      <c r="E5" s="11" t="s">
        <v>35</v>
      </c>
      <c r="F5" s="11" t="s">
        <v>35</v>
      </c>
      <c r="G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G6" s="13"/>
      <c r="I6" s="14" t="str">
        <f aca="false">IF(COUNT(B6:G6)=0,"",IF(AND(((B6+C6+D6)&gt;=2),((E6+F6)&gt;=2),((G6)&gt;=1)),"Transfer",IF(AND(((B6+C6+D6)&gt;=2),((E6+F6)&gt;=2)),"Deep",IF(((B6+C6+D6)&gt;=2),"Surface","Emerging"))))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G7" s="13"/>
      <c r="I7" s="14" t="str">
        <f aca="false">IF(COUNT(B7:G7)=0,"",IF(AND(((B7+C7+D7)&gt;=2),((E7+F7)&gt;=2),((G7)&gt;=1)),"Transfer",IF(AND(((B7+C7+D7)&gt;=2),((E7+F7)&gt;=2)),"Deep",IF(((B7+C7+D7)&gt;=2),"Surface","Emerging"))))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G8" s="13"/>
      <c r="I8" s="14" t="str">
        <f aca="false">IF(COUNT(B8:G8)=0,"",IF(AND(((B8+C8+D8)&gt;=2),((E8+F8)&gt;=2),((G8)&gt;=1)),"Transfer",IF(AND(((B8+C8+D8)&gt;=2),((E8+F8)&gt;=2)),"Deep",IF(((B8+C8+D8)&gt;=2),"Surface","Emerging"))))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G9" s="13"/>
      <c r="I9" s="14" t="str">
        <f aca="false">IF(COUNT(B9:G9)=0,"",IF(AND(((B9+C9+D9)&gt;=2),((E9+F9)&gt;=2),((G9)&gt;=1)),"Transfer",IF(AND(((B9+C9+D9)&gt;=2),((E9+F9)&gt;=2)),"Deep",IF(((B9+C9+D9)&gt;=2),"Surface","Emerging"))))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G10" s="13"/>
      <c r="I10" s="14" t="str">
        <f aca="false">IF(COUNT(B10:G10)=0,"",IF(AND(((B10+C10+D10)&gt;=2),((E10+F10)&gt;=2),((G10)&gt;=1)),"Transfer",IF(AND(((B10+C10+D10)&gt;=2),((E10+F10)&gt;=2)),"Deep",IF(((B10+C10+D10)&gt;=2),"Surface","Emerging"))))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G11" s="13"/>
      <c r="I11" s="14" t="str">
        <f aca="false">IF(COUNT(B11:G11)=0,"",IF(AND(((B11+C11+D11)&gt;=2),((E11+F11)&gt;=2),((G11)&gt;=1)),"Transfer",IF(AND(((B11+C11+D11)&gt;=2),((E11+F11)&gt;=2)),"Deep",IF(((B11+C11+D11)&gt;=2),"Surface","Emerging"))))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G12" s="13"/>
      <c r="I12" s="14" t="str">
        <f aca="false">IF(COUNT(B12:G12)=0,"",IF(AND(((B12+C12+D12)&gt;=2),((E12+F12)&gt;=2),((G12)&gt;=1)),"Transfer",IF(AND(((B12+C12+D12)&gt;=2),((E12+F12)&gt;=2)),"Deep",IF(((B12+C12+D12)&gt;=2),"Surface","Emerging"))))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G13" s="13"/>
      <c r="I13" s="14" t="str">
        <f aca="false">IF(COUNT(B13:G13)=0,"",IF(AND(((B13+C13+D13)&gt;=2),((E13+F13)&gt;=2),((G13)&gt;=1)),"Transfer",IF(AND(((B13+C13+D13)&gt;=2),((E13+F13)&gt;=2)),"Deep",IF(((B13+C13+D13)&gt;=2),"Surface","Emerging"))))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G14" s="13"/>
      <c r="I14" s="14" t="str">
        <f aca="false">IF(COUNT(B14:G14)=0,"",IF(AND(((B14+C14+D14)&gt;=2),((E14+F14)&gt;=2),((G14)&gt;=1)),"Transfer",IF(AND(((B14+C14+D14)&gt;=2),((E14+F14)&gt;=2)),"Deep",IF(((B14+C14+D14)&gt;=2),"Surface","Emerging"))))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G15" s="13"/>
      <c r="I15" s="14" t="str">
        <f aca="false">IF(COUNT(B15:G15)=0,"",IF(AND(((B15+C15+D15)&gt;=2),((E15+F15)&gt;=2),((G15)&gt;=1)),"Transfer",IF(AND(((B15+C15+D15)&gt;=2),((E15+F15)&gt;=2)),"Deep",IF(((B15+C15+D15)&gt;=2),"Surface","Emerging"))))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G16" s="13"/>
      <c r="I16" s="14" t="str">
        <f aca="false">IF(COUNT(B16:G16)=0,"",IF(AND(((B16+C16+D16)&gt;=2),((E16+F16)&gt;=2),((G16)&gt;=1)),"Transfer",IF(AND(((B16+C16+D16)&gt;=2),((E16+F16)&gt;=2)),"Deep",IF(((B16+C16+D16)&gt;=2),"Surface","Emerging"))))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G17" s="13"/>
      <c r="I17" s="14" t="str">
        <f aca="false">IF(COUNT(B17:G17)=0,"",IF(AND(((B17+C17+D17)&gt;=2),((E17+F17)&gt;=2),((G17)&gt;=1)),"Transfer",IF(AND(((B17+C17+D17)&gt;=2),((E17+F17)&gt;=2)),"Deep",IF(((B17+C17+D17)&gt;=2),"Surface","Emerging"))))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G18" s="13"/>
      <c r="I18" s="14" t="str">
        <f aca="false">IF(COUNT(B18:G18)=0,"",IF(AND(((B18+C18+D18)&gt;=2),((E18+F18)&gt;=2),((G18)&gt;=1)),"Transfer",IF(AND(((B18+C18+D18)&gt;=2),((E18+F18)&gt;=2)),"Deep",IF(((B18+C18+D18)&gt;=2),"Surface","Emerging"))))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G19" s="13"/>
      <c r="I19" s="14" t="str">
        <f aca="false">IF(COUNT(B19:G19)=0,"",IF(AND(((B19+C19+D19)&gt;=2),((E19+F19)&gt;=2),((G19)&gt;=1)),"Transfer",IF(AND(((B19+C19+D19)&gt;=2),((E19+F19)&gt;=2)),"Deep",IF(((B19+C19+D19)&gt;=2),"Surface","Emerging"))))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G20" s="13"/>
      <c r="I20" s="14" t="str">
        <f aca="false">IF(COUNT(B20:G20)=0,"",IF(AND(((B20+C20+D20)&gt;=2),((E20+F20)&gt;=2),((G20)&gt;=1)),"Transfer",IF(AND(((B20+C20+D20)&gt;=2),((E20+F20)&gt;=2)),"Deep",IF(((B20+C20+D20)&gt;=2),"Surface","Emerging"))))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  <c r="H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  <c r="G24" s="17" t="str">
        <f aca="false">IF(COUNT(G6:G20)=0,"",AVERAGE(G6:G20))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COUNTIF(I6:I20,"Surface")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COUNTIF(I6:I20,"Deep")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COUNTIF(I6:I20,"Transfer")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COUNTIF(I6:I20,"Emerging")</f>
        <v>0</v>
      </c>
    </row>
  </sheetData>
  <mergeCells count="3">
    <mergeCell ref="A1:H1"/>
    <mergeCell ref="A2:H2"/>
    <mergeCell ref="A21:H21"/>
  </mergeCells>
  <dataValidations count="1">
    <dataValidation allowBlank="true" error="Enter 1 (correct) or 0 (not yet)." errorStyle="stop" errorTitle="Invalid entry" operator="between" showDropDown="false" showErrorMessage="false" showInputMessage="false" sqref="B6:G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3"/>
    <col collapsed="false" customWidth="true" hidden="false" outlineLevel="0" max="8" min="8" style="0" width="15"/>
  </cols>
  <sheetData>
    <row r="1" customFormat="false" ht="30" hidden="false" customHeight="true" outlineLevel="0" collapsed="false">
      <c r="A1" s="6" t="s">
        <v>110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25</v>
      </c>
      <c r="B2" s="7"/>
      <c r="C2" s="7"/>
      <c r="D2" s="7"/>
      <c r="E2" s="7"/>
      <c r="F2" s="7"/>
      <c r="G2" s="7"/>
    </row>
    <row r="4" customFormat="false" ht="26.85" hidden="false" customHeight="false" outlineLevel="0" collapsed="false">
      <c r="A4" s="8" t="s">
        <v>26</v>
      </c>
      <c r="B4" s="9" t="s">
        <v>111</v>
      </c>
      <c r="C4" s="9" t="s">
        <v>112</v>
      </c>
      <c r="D4" s="9" t="s">
        <v>113</v>
      </c>
      <c r="E4" s="9" t="s">
        <v>114</v>
      </c>
      <c r="F4" s="9" t="s">
        <v>115</v>
      </c>
      <c r="H4" s="9" t="s">
        <v>32</v>
      </c>
    </row>
    <row r="5" customFormat="false" ht="15" hidden="false" customHeight="false" outlineLevel="0" collapsed="false">
      <c r="A5" s="10" t="s">
        <v>33</v>
      </c>
      <c r="B5" s="11" t="s">
        <v>34</v>
      </c>
      <c r="C5" s="11" t="s">
        <v>34</v>
      </c>
      <c r="D5" s="11" t="s">
        <v>35</v>
      </c>
      <c r="E5" s="11" t="s">
        <v>35</v>
      </c>
      <c r="F5" s="11" t="s">
        <v>36</v>
      </c>
    </row>
    <row r="6" customFormat="false" ht="15" hidden="false" customHeight="false" outlineLevel="0" collapsed="false">
      <c r="A6" s="12" t="s">
        <v>37</v>
      </c>
      <c r="B6" s="13"/>
      <c r="C6" s="13"/>
      <c r="D6" s="13"/>
      <c r="E6" s="13"/>
      <c r="F6" s="13"/>
      <c r="H6" s="14" t="str">
        <f aca="false">IF(COUNT(B6:F6)=0,"",IF(AND(((B6+C6)&gt;=1),((D6+E6)&gt;=2),((F6)&gt;=1)),"Transfer",IF(AND(((B6+C6)&gt;=1),((D6+E6)&gt;=2)),"Deep",IF(((B6+C6)&gt;=1),"Surface","Emerging"))))</f>
        <v/>
      </c>
    </row>
    <row r="7" customFormat="false" ht="15" hidden="false" customHeight="false" outlineLevel="0" collapsed="false">
      <c r="A7" s="12" t="s">
        <v>38</v>
      </c>
      <c r="B7" s="13"/>
      <c r="C7" s="13"/>
      <c r="D7" s="13"/>
      <c r="E7" s="13"/>
      <c r="F7" s="13"/>
      <c r="H7" s="14" t="str">
        <f aca="false">IF(COUNT(B7:F7)=0,"",IF(AND(((B7+C7)&gt;=1),((D7+E7)&gt;=2),((F7)&gt;=1)),"Transfer",IF(AND(((B7+C7)&gt;=1),((D7+E7)&gt;=2)),"Deep",IF(((B7+C7)&gt;=1),"Surface","Emerging"))))</f>
        <v/>
      </c>
    </row>
    <row r="8" customFormat="false" ht="15" hidden="false" customHeight="false" outlineLevel="0" collapsed="false">
      <c r="A8" s="12" t="s">
        <v>39</v>
      </c>
      <c r="B8" s="13"/>
      <c r="C8" s="13"/>
      <c r="D8" s="13"/>
      <c r="E8" s="13"/>
      <c r="F8" s="13"/>
      <c r="H8" s="14" t="str">
        <f aca="false">IF(COUNT(B8:F8)=0,"",IF(AND(((B8+C8)&gt;=1),((D8+E8)&gt;=2),((F8)&gt;=1)),"Transfer",IF(AND(((B8+C8)&gt;=1),((D8+E8)&gt;=2)),"Deep",IF(((B8+C8)&gt;=1),"Surface","Emerging"))))</f>
        <v/>
      </c>
    </row>
    <row r="9" customFormat="false" ht="15" hidden="false" customHeight="false" outlineLevel="0" collapsed="false">
      <c r="A9" s="12" t="s">
        <v>40</v>
      </c>
      <c r="B9" s="13"/>
      <c r="C9" s="13"/>
      <c r="D9" s="13"/>
      <c r="E9" s="13"/>
      <c r="F9" s="13"/>
      <c r="H9" s="14" t="str">
        <f aca="false">IF(COUNT(B9:F9)=0,"",IF(AND(((B9+C9)&gt;=1),((D9+E9)&gt;=2),((F9)&gt;=1)),"Transfer",IF(AND(((B9+C9)&gt;=1),((D9+E9)&gt;=2)),"Deep",IF(((B9+C9)&gt;=1),"Surface","Emerging"))))</f>
        <v/>
      </c>
    </row>
    <row r="10" customFormat="false" ht="15" hidden="false" customHeight="false" outlineLevel="0" collapsed="false">
      <c r="A10" s="12" t="s">
        <v>41</v>
      </c>
      <c r="B10" s="13"/>
      <c r="C10" s="13"/>
      <c r="D10" s="13"/>
      <c r="E10" s="13"/>
      <c r="F10" s="13"/>
      <c r="H10" s="14" t="str">
        <f aca="false">IF(COUNT(B10:F10)=0,"",IF(AND(((B10+C10)&gt;=1),((D10+E10)&gt;=2),((F10)&gt;=1)),"Transfer",IF(AND(((B10+C10)&gt;=1),((D10+E10)&gt;=2)),"Deep",IF(((B10+C10)&gt;=1),"Surface","Emerging"))))</f>
        <v/>
      </c>
    </row>
    <row r="11" customFormat="false" ht="15" hidden="false" customHeight="false" outlineLevel="0" collapsed="false">
      <c r="A11" s="12" t="s">
        <v>42</v>
      </c>
      <c r="B11" s="13"/>
      <c r="C11" s="13"/>
      <c r="D11" s="13"/>
      <c r="E11" s="13"/>
      <c r="F11" s="13"/>
      <c r="H11" s="14" t="str">
        <f aca="false">IF(COUNT(B11:F11)=0,"",IF(AND(((B11+C11)&gt;=1),((D11+E11)&gt;=2),((F11)&gt;=1)),"Transfer",IF(AND(((B11+C11)&gt;=1),((D11+E11)&gt;=2)),"Deep",IF(((B11+C11)&gt;=1),"Surface","Emerging"))))</f>
        <v/>
      </c>
    </row>
    <row r="12" customFormat="false" ht="15" hidden="false" customHeight="false" outlineLevel="0" collapsed="false">
      <c r="A12" s="12" t="s">
        <v>43</v>
      </c>
      <c r="B12" s="13"/>
      <c r="C12" s="13"/>
      <c r="D12" s="13"/>
      <c r="E12" s="13"/>
      <c r="F12" s="13"/>
      <c r="H12" s="14" t="str">
        <f aca="false">IF(COUNT(B12:F12)=0,"",IF(AND(((B12+C12)&gt;=1),((D12+E12)&gt;=2),((F12)&gt;=1)),"Transfer",IF(AND(((B12+C12)&gt;=1),((D12+E12)&gt;=2)),"Deep",IF(((B12+C12)&gt;=1),"Surface","Emerging"))))</f>
        <v/>
      </c>
    </row>
    <row r="13" customFormat="false" ht="15" hidden="false" customHeight="false" outlineLevel="0" collapsed="false">
      <c r="A13" s="12" t="s">
        <v>44</v>
      </c>
      <c r="B13" s="13"/>
      <c r="C13" s="13"/>
      <c r="D13" s="13"/>
      <c r="E13" s="13"/>
      <c r="F13" s="13"/>
      <c r="H13" s="14" t="str">
        <f aca="false">IF(COUNT(B13:F13)=0,"",IF(AND(((B13+C13)&gt;=1),((D13+E13)&gt;=2),((F13)&gt;=1)),"Transfer",IF(AND(((B13+C13)&gt;=1),((D13+E13)&gt;=2)),"Deep",IF(((B13+C13)&gt;=1),"Surface","Emerging"))))</f>
        <v/>
      </c>
    </row>
    <row r="14" customFormat="false" ht="15" hidden="false" customHeight="false" outlineLevel="0" collapsed="false">
      <c r="A14" s="12" t="s">
        <v>45</v>
      </c>
      <c r="B14" s="13"/>
      <c r="C14" s="13"/>
      <c r="D14" s="13"/>
      <c r="E14" s="13"/>
      <c r="F14" s="13"/>
      <c r="H14" s="14" t="str">
        <f aca="false">IF(COUNT(B14:F14)=0,"",IF(AND(((B14+C14)&gt;=1),((D14+E14)&gt;=2),((F14)&gt;=1)),"Transfer",IF(AND(((B14+C14)&gt;=1),((D14+E14)&gt;=2)),"Deep",IF(((B14+C14)&gt;=1),"Surface","Emerging"))))</f>
        <v/>
      </c>
    </row>
    <row r="15" customFormat="false" ht="15" hidden="false" customHeight="false" outlineLevel="0" collapsed="false">
      <c r="A15" s="12" t="s">
        <v>46</v>
      </c>
      <c r="B15" s="13"/>
      <c r="C15" s="13"/>
      <c r="D15" s="13"/>
      <c r="E15" s="13"/>
      <c r="F15" s="13"/>
      <c r="H15" s="14" t="str">
        <f aca="false">IF(COUNT(B15:F15)=0,"",IF(AND(((B15+C15)&gt;=1),((D15+E15)&gt;=2),((F15)&gt;=1)),"Transfer",IF(AND(((B15+C15)&gt;=1),((D15+E15)&gt;=2)),"Deep",IF(((B15+C15)&gt;=1),"Surface","Emerging"))))</f>
        <v/>
      </c>
    </row>
    <row r="16" customFormat="false" ht="15" hidden="false" customHeight="false" outlineLevel="0" collapsed="false">
      <c r="A16" s="12" t="s">
        <v>47</v>
      </c>
      <c r="B16" s="13"/>
      <c r="C16" s="13"/>
      <c r="D16" s="13"/>
      <c r="E16" s="13"/>
      <c r="F16" s="13"/>
      <c r="H16" s="14" t="str">
        <f aca="false">IF(COUNT(B16:F16)=0,"",IF(AND(((B16+C16)&gt;=1),((D16+E16)&gt;=2),((F16)&gt;=1)),"Transfer",IF(AND(((B16+C16)&gt;=1),((D16+E16)&gt;=2)),"Deep",IF(((B16+C16)&gt;=1),"Surface","Emerging"))))</f>
        <v/>
      </c>
    </row>
    <row r="17" customFormat="false" ht="15" hidden="false" customHeight="false" outlineLevel="0" collapsed="false">
      <c r="A17" s="12" t="s">
        <v>48</v>
      </c>
      <c r="B17" s="13"/>
      <c r="C17" s="13"/>
      <c r="D17" s="13"/>
      <c r="E17" s="13"/>
      <c r="F17" s="13"/>
      <c r="H17" s="14" t="str">
        <f aca="false">IF(COUNT(B17:F17)=0,"",IF(AND(((B17+C17)&gt;=1),((D17+E17)&gt;=2),((F17)&gt;=1)),"Transfer",IF(AND(((B17+C17)&gt;=1),((D17+E17)&gt;=2)),"Deep",IF(((B17+C17)&gt;=1),"Surface","Emerging"))))</f>
        <v/>
      </c>
    </row>
    <row r="18" customFormat="false" ht="15" hidden="false" customHeight="false" outlineLevel="0" collapsed="false">
      <c r="A18" s="12" t="s">
        <v>49</v>
      </c>
      <c r="B18" s="13"/>
      <c r="C18" s="13"/>
      <c r="D18" s="13"/>
      <c r="E18" s="13"/>
      <c r="F18" s="13"/>
      <c r="H18" s="14" t="str">
        <f aca="false">IF(COUNT(B18:F18)=0,"",IF(AND(((B18+C18)&gt;=1),((D18+E18)&gt;=2),((F18)&gt;=1)),"Transfer",IF(AND(((B18+C18)&gt;=1),((D18+E18)&gt;=2)),"Deep",IF(((B18+C18)&gt;=1),"Surface","Emerging"))))</f>
        <v/>
      </c>
    </row>
    <row r="19" customFormat="false" ht="15" hidden="false" customHeight="false" outlineLevel="0" collapsed="false">
      <c r="A19" s="12" t="s">
        <v>50</v>
      </c>
      <c r="B19" s="13"/>
      <c r="C19" s="13"/>
      <c r="D19" s="13"/>
      <c r="E19" s="13"/>
      <c r="F19" s="13"/>
      <c r="H19" s="14" t="str">
        <f aca="false">IF(COUNT(B19:F19)=0,"",IF(AND(((B19+C19)&gt;=1),((D19+E19)&gt;=2),((F19)&gt;=1)),"Transfer",IF(AND(((B19+C19)&gt;=1),((D19+E19)&gt;=2)),"Deep",IF(((B19+C19)&gt;=1),"Surface","Emerging"))))</f>
        <v/>
      </c>
    </row>
    <row r="20" customFormat="false" ht="15" hidden="false" customHeight="false" outlineLevel="0" collapsed="false">
      <c r="A20" s="12" t="s">
        <v>51</v>
      </c>
      <c r="B20" s="13"/>
      <c r="C20" s="13"/>
      <c r="D20" s="13"/>
      <c r="E20" s="13"/>
      <c r="F20" s="13"/>
      <c r="H20" s="14" t="str">
        <f aca="false">IF(COUNT(B20:F20)=0,"",IF(AND(((B20+C20)&gt;=1),((D20+E20)&gt;=2),((F20)&gt;=1)),"Transfer",IF(AND(((B20+C20)&gt;=1),((D20+E20)&gt;=2)),"Deep",IF(((B20+C20)&gt;=1),"Surface","Emerging"))))</f>
        <v/>
      </c>
    </row>
    <row r="21" customFormat="false" ht="15" hidden="false" customHeight="false" outlineLevel="0" collapsed="false">
      <c r="A21" s="15" t="s">
        <v>52</v>
      </c>
      <c r="B21" s="15"/>
      <c r="C21" s="15"/>
      <c r="D21" s="15"/>
      <c r="E21" s="15"/>
      <c r="F21" s="15"/>
      <c r="G21" s="15"/>
    </row>
    <row r="23" customFormat="false" ht="16.15" hidden="false" customHeight="false" outlineLevel="0" collapsed="false">
      <c r="A23" s="3" t="s">
        <v>53</v>
      </c>
    </row>
    <row r="24" customFormat="false" ht="15" hidden="false" customHeight="false" outlineLevel="0" collapsed="false">
      <c r="A24" s="16" t="s">
        <v>54</v>
      </c>
      <c r="B24" s="17" t="str">
        <f aca="false">IF(COUNT(B6:B20)=0,"",AVERAGE(B6:B20))</f>
        <v/>
      </c>
      <c r="C24" s="17" t="str">
        <f aca="false">IF(COUNT(C6:C20)=0,"",AVERAGE(C6:C20))</f>
        <v/>
      </c>
      <c r="D24" s="17" t="str">
        <f aca="false">IF(COUNT(D6:D20)=0,"",AVERAGE(D6:D20))</f>
        <v/>
      </c>
      <c r="E24" s="17" t="str">
        <f aca="false">IF(COUNT(E6:E20)=0,"",AVERAGE(E6:E20))</f>
        <v/>
      </c>
      <c r="F24" s="17" t="str">
        <f aca="false">IF(COUNT(F6:F20)=0,"",AVERAGE(F6:F20))</f>
        <v/>
      </c>
    </row>
    <row r="26" customFormat="false" ht="15" hidden="false" customHeight="false" outlineLevel="0" collapsed="false">
      <c r="A26" s="4" t="s">
        <v>55</v>
      </c>
    </row>
    <row r="27" customFormat="false" ht="15" hidden="false" customHeight="false" outlineLevel="0" collapsed="false">
      <c r="A27" s="18" t="s">
        <v>14</v>
      </c>
      <c r="B27" s="19" t="n">
        <f aca="false">COUNTIF(H6:H20,"Surface")</f>
        <v>0</v>
      </c>
    </row>
    <row r="28" customFormat="false" ht="15" hidden="false" customHeight="false" outlineLevel="0" collapsed="false">
      <c r="A28" s="18" t="s">
        <v>16</v>
      </c>
      <c r="B28" s="19" t="n">
        <f aca="false">COUNTIF(H6:H20,"Deep")</f>
        <v>0</v>
      </c>
    </row>
    <row r="29" customFormat="false" ht="15" hidden="false" customHeight="false" outlineLevel="0" collapsed="false">
      <c r="A29" s="18" t="s">
        <v>18</v>
      </c>
      <c r="B29" s="19" t="n">
        <f aca="false">COUNTIF(H6:H20,"Transfer")</f>
        <v>0</v>
      </c>
    </row>
    <row r="30" customFormat="false" ht="15" hidden="false" customHeight="false" outlineLevel="0" collapsed="false">
      <c r="A30" s="18" t="s">
        <v>56</v>
      </c>
      <c r="B30" s="19" t="n">
        <f aca="false">COUNTIF(H6:H20,"Emerging")</f>
        <v>0</v>
      </c>
    </row>
  </sheetData>
  <mergeCells count="3">
    <mergeCell ref="A1:G1"/>
    <mergeCell ref="A2:G2"/>
    <mergeCell ref="A21:G21"/>
  </mergeCells>
  <dataValidations count="1">
    <dataValidation allowBlank="true" error="Enter 1 (correct) or 0 (not yet)." errorStyle="stop" errorTitle="Invalid entry" operator="between" showDropDown="false" showErrorMessage="false" showInputMessage="false" sqref="B6:F20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2026-07-14T12:38:05Z</dcterms:created>
  <dc:creator>openpyxl</dc:creator>
  <dc:description/>
  <dc:language>en-US</dc:language>
  <cp:lastModifiedBy/>
  <dcterms:modified xsi:type="dcterms:W3CDTF">2026-07-14T12:38:05Z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